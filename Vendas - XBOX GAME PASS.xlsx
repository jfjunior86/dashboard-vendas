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fjun\Desktop\"/>
    </mc:Choice>
  </mc:AlternateContent>
  <xr:revisionPtr revIDLastSave="0" documentId="13_ncr:1_{4FFEC812-EE8E-40D3-A064-ED332598CF50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3" l="1"/>
  <c r="E27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<sst xmlns="http://schemas.openxmlformats.org/spreadsheetml/2006/main" count="2022" uniqueCount="324">
  <si>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</si>
  <si>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</si>
  <si>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</si>
  <si>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</si>
  <si>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</si>
  <si>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</si>
  <si>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</si>
  <si>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</si>
  <si>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</si>
  <si>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</si>
  <si>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</si>
  <si>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</si>
  <si>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</si>
  <si>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</si>
  <si>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</si>
  <si>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</si>
  <si>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</si>
  <si>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</si>
  <si>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</si>
  <si>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</si>
  <si>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</si>
  <si>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</si>
  <si>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</si>
  <si>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</si>
  <si>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</si>
  <si>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</si>
  <si>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</si>
  <si>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</si>
  <si>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</si>
  <si>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</si>
  <si>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</si>
  <si>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</si>
  <si>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</si>
  <si>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</si>
  <si>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</si>
  <si>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</si>
  <si>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</si>
  <si>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</si>
  <si>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</si>
  <si>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</si>
  <si>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</si>
  <si>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</si>
  <si>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</si>
  <si>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</si>
  <si>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</si>
  <si>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</si>
  <si>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</si>
  <si>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</si>
  <si>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</si>
  <si>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</si>
  <si>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</si>
  <si>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</si>
  <si>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</si>
  <si>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</si>
  <si>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</si>
  <si>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</si>
  <si>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</si>
  <si>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</si>
  <si>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</si>
  <si>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</si>
  <si>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</si>
  <si>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</si>
  <si>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</si>
  <si>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</si>
  <si>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</si>
  <si>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</si>
  <si>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</si>
  <si>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</si>
  <si>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</si>
  <si>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</si>
  <si>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</si>
  <si>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</si>
  <si>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</si>
  <si>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</si>
  <si>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</si>
  <si>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</si>
  <si>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</si>
  <si>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</si>
  <si>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</si>
  <si>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</si>
  <si>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</si>
  <si>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</si>
  <si>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</si>
  <si>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</si>
  <si>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</si>
  <si>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</si>
  <si>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</si>
  <si>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</si>
  <si>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</si>
  <si>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</si>
  <si>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</si>
  <si>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</si>
  <si>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</si>
  <si>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</si>
  <si>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</si>
  <si>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</si>
  <si>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</si>
  <si>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</si>
  <si>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</si>
  <si>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</si>
  <si>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</si>
  <si>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</si>
  <si>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</si>
  <si>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</si>
  <si>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</si>
  <si>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</si>
  <si>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</si>
  <si>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</si>
  <si>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</si>
  <si>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</si>
  <si>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</si>
  <si>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</si>
  <si>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</si>
  <si>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</si>
  <si>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</si>
  <si>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</si>
  <si>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</si>
  <si>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</si>
  <si>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</si>
  <si>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</si>
  <si>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</si>
  <si>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</si>
  <si>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</si>
  <si>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</si>
  <si>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</si>
  <si>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</si>
  <si>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</si>
  <si>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</si>
  <si>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</si>
  <si>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</si>
  <si>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</si>
  <si>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</si>
  <si>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</si>
  <si>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</si>
  <si>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</si>
  <si>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</si>
  <si>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</si>
  <si>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</si>
  <si>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</si>
  <si>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</si>
  <si>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</si>
  <si>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</si>
  <si>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</si>
  <si>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</si>
  <si>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</si>
  <si>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</si>
  <si>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</si>
  <si>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</si>
  <si>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</si>
  <si>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</si>
  <si>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</si>
  <si>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</si>
  <si>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</si>
  <si>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</si>
  <si>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</si>
  <si>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</si>
  <si>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</si>
  <si>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</si>
  <si>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</si>
  <si>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</si>
  <si>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</si>
  <si>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</si>
  <si>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</si>
  <si>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</si>
  <si>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</si>
  <si>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</si>
  <si>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</si>
  <si>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</si>
  <si>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</si>
  <si>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</si>
  <si>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</si>
  <si>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</si>
  <si>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</si>
  <si>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</si>
  <si>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</si>
  <si>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</si>
  <si>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</si>
  <si>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</si>
  <si>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</si>
  <si>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</si>
  <si>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</si>
  <si>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</si>
  <si>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</si>
  <si>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</si>
  <si>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</si>
  <si>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</si>
  <si>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</si>
  <si>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</si>
  <si>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</si>
  <si>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</si>
  <si>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</si>
  <si>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</si>
  <si>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</si>
  <si>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</si>
  <si>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</si>
  <si>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</si>
  <si>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</si>
  <si>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</si>
  <si>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</si>
  <si>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</si>
  <si>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</si>
  <si>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</si>
  <si>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</si>
  <si>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</si>
  <si>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</si>
  <si>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</si>
  <si>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</si>
  <si>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</si>
  <si>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</si>
  <si>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</si>
  <si>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</si>
  <si>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</si>
  <si>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</si>
  <si>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</si>
  <si>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</si>
  <si>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</si>
  <si>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</si>
  <si>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</si>
  <si>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</si>
  <si>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</si>
  <si>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</si>
  <si>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</si>
  <si>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</si>
  <si>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</si>
  <si>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</si>
  <si>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</si>
  <si>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</si>
  <si>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</si>
  <si>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</si>
  <si>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</si>
  <si>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</si>
  <si>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</si>
  <si>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</si>
  <si>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</si>
  <si>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</si>
  <si>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</si>
  <si>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</si>
  <si>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</si>
  <si>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</si>
  <si>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</si>
  <si>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</si>
  <si>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</si>
  <si>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</si>
  <si>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</si>
  <si>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</si>
  <si>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</si>
  <si>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</si>
  <si>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</si>
  <si>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</si>
  <si>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</si>
  <si>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</si>
  <si>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</si>
  <si>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</si>
  <si>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</si>
  <si>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</si>
  <si>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</si>
  <si>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</si>
  <si>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</si>
  <si>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</si>
  <si>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</si>
  <si>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</si>
  <si>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</si>
  <si>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</si>
  <si>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</si>
  <si>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</si>
  <si>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</si>
  <si>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</si>
  <si>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</si>
  <si>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</si>
  <si>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</si>
  <si>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</si>
  <si>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</si>
  <si>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</si>
  <si>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</si>
  <si>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</si>
  <si>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</si>
  <si>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</si>
  <si>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</si>
  <si>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</si>
  <si>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</si>
  <si>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</si>
  <si>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</si>
  <si>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</si>
  <si>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</si>
  <si>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</si>
  <si>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</si>
  <si>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</si>
  <si>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</si>
  <si>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</si>
  <si>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</si>
  <si>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</si>
  <si>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</si>
  <si>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</si>
  <si>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</si>
  <si>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</si>
  <si>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</si>
  <si>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</si>
  <si>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</si>
  <si>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</si>
  <si>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</si>
  <si>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</si>
  <si>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</si>
  <si>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</si>
  <si>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</si>
  <si>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</si>
  <si>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</si>
  <si>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</si>
  <si>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</si>
  <si>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</si>
  <si>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</si>
  <si>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</si>
  <si>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</si>
  <si>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</si>
  <si>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</si>
  <si>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</si>
  <si>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</si>
  <si>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negoócio respondida através de alguma análise de dado especifica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</si>
  <si>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>(contendo todas as assinaturas agregadas)</t>
    </r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</si>
  <si>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</si>
  <si>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t>Perguntade negócio 3 - Total de vendas de Assinaturas do Ea Play</t>
  </si>
  <si>
    <t>Soma de EA Play Season Pass</t>
  </si>
  <si>
    <t>Perguntade negócio 3 - Total de vendas de Assinaturas do Minecraft Season Pass</t>
  </si>
  <si>
    <t>Soma de Minecraft Season Pass Price</t>
  </si>
  <si>
    <t xml:space="preserve">VENDAS DE ASSINATURAS XBOX GAME PASS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</si>
</sst>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rgb="FF22AE61"/>
      </top>
      <bottom/>
      <diagonal/>
    </border>
    <border>
      <left/>
      <right/>
      <top/>
      <bottom style="thick">
        <color rgb="FF22AE6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" fillId="0" borderId="0" xfId="1" applyBorder="1" applyAlignment="1">
      <alignment horizontal="center"/>
    </xf>
    <xf numFmtId="0" fontId="6" fillId="4" borderId="0" xfId="0" applyFont="1" applyFill="1"/>
    <xf numFmtId="44" fontId="0" fillId="0" borderId="0" xfId="2" applyFont="1"/>
    <xf numFmtId="0" fontId="0" fillId="0" borderId="3" xfId="0" applyBorder="1"/>
    <xf numFmtId="0" fontId="4" fillId="8" borderId="0" xfId="3" applyAlignment="1">
      <alignment horizontal="center"/>
    </xf>
    <xf numFmtId="0" fontId="5" fillId="0" borderId="2" xfId="1" applyFont="1" applyBorder="1" applyAlignment="1">
      <alignment horizontal="left" indent="5"/>
    </xf>
    <xf numFmtId="0" fontId="5" fillId="0" borderId="3" xfId="1" applyFont="1" applyBorder="1" applyAlignment="1">
      <alignment horizontal="left" indent="5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rgb="FF22C55E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870E466-988D-47F5-8375-EEDDC5C0F570}">
      <tableStyleElement type="wholeTable" dxfId="15"/>
      <tableStyleElement type="headerRow" dxfId="14"/>
    </tableStyle>
  </tableStyles>
  <colors>
    <mruColors>
      <color rgb="FFF7F8FC"/>
      <color rgb="FF22C55E"/>
      <color rgb="FF22AE61"/>
      <color rgb="FF2AE6B1"/>
      <color rgb="FF5BF6A8"/>
      <color rgb="FFE8E6E9"/>
      <color rgb="FF000000"/>
      <color rgb="FFE0E0E0"/>
      <color rgb="FFEDEDED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AE6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5237347481604618E-2"/>
          <c:y val="0.19585886394021304"/>
          <c:w val="0.72586141051182318"/>
          <c:h val="0.697126185413166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F2-4652-A99C-E772B7C24C6D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F2-4652-A99C-E772B7C24C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AE6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7-4327-956F-44A7BA6A6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8380143"/>
        <c:axId val="1988383503"/>
      </c:barChart>
      <c:catAx>
        <c:axId val="1988380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8383503"/>
        <c:crosses val="autoZero"/>
        <c:auto val="1"/>
        <c:lblAlgn val="ctr"/>
        <c:lblOffset val="100"/>
        <c:noMultiLvlLbl val="0"/>
      </c:catAx>
      <c:valAx>
        <c:axId val="198838350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883801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75248</xdr:colOff>
      <xdr:row>0</xdr:row>
      <xdr:rowOff>34765</xdr:rowOff>
    </xdr:from>
    <xdr:to>
      <xdr:col>2</xdr:col>
      <xdr:colOff>401003</xdr:colOff>
      <xdr:row>2</xdr:row>
      <xdr:rowOff>168115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7D1F35-6573-418A-AED5-8F4A59B472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4" t="22270" r="72341" b="17504"/>
        <a:stretch>
          <a:fillRect/>
        </a:stretch>
      </xdr:blipFill>
      <xdr:spPr>
        <a:xfrm>
          <a:off x="1942148" y="34765"/>
          <a:ext cx="573405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216219</xdr:rowOff>
    </xdr:from>
    <xdr:to>
      <xdr:col>0</xdr:col>
      <xdr:colOff>1849755</xdr:colOff>
      <xdr:row>22</xdr:row>
      <xdr:rowOff>170497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ADE31AB-2FA0-4B0C-A502-B77ED8AA1781}"/>
                </a:ext>
                <a:ext uri="{C183D7F6-B498-43B3-948B-1728B52AA6E4}">
                  <adec:decorative xmlns:adec="http://schemas.microsoft.com/office/drawing/2017/decorative" val="0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26101"/>
              <a:ext cx="1845945" cy="29439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</xdr:colOff>
      <xdr:row>7</xdr:row>
      <xdr:rowOff>136675</xdr:rowOff>
    </xdr:from>
    <xdr:to>
      <xdr:col>11</xdr:col>
      <xdr:colOff>326232</xdr:colOff>
      <xdr:row>16</xdr:row>
      <xdr:rowOff>58093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02EEF6FB-1C61-D669-22A1-DF88270B7323}"/>
            </a:ext>
          </a:extLst>
        </xdr:cNvPr>
        <xdr:cNvGrpSpPr/>
      </xdr:nvGrpSpPr>
      <xdr:grpSpPr>
        <a:xfrm>
          <a:off x="2058866" y="1265021"/>
          <a:ext cx="5799443" cy="1863053"/>
          <a:chOff x="2106931" y="1245394"/>
          <a:chExt cx="5825966" cy="1795938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88D294B4-5EAB-5285-ABAA-13FD0B6C97BF}"/>
              </a:ext>
            </a:extLst>
          </xdr:cNvPr>
          <xdr:cNvSpPr/>
        </xdr:nvSpPr>
        <xdr:spPr>
          <a:xfrm>
            <a:off x="2118359" y="1251109"/>
            <a:ext cx="5814061" cy="1790223"/>
          </a:xfrm>
          <a:prstGeom prst="roundRect">
            <a:avLst>
              <a:gd name="adj" fmla="val 593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7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473C5D1-2781-412C-8C99-9AA20CA7364D}"/>
              </a:ext>
            </a:extLst>
          </xdr:cNvPr>
          <xdr:cNvSpPr/>
        </xdr:nvSpPr>
        <xdr:spPr>
          <a:xfrm>
            <a:off x="3241358" y="1782842"/>
            <a:ext cx="3610450" cy="1061561"/>
          </a:xfrm>
          <a:prstGeom prst="roundRect">
            <a:avLst>
              <a:gd name="adj" fmla="val 982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BFAE524-F777-42BF-9459-5389D031125D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6548F21F-64C9-4C7F-9638-93B049EA30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96052" y="1735931"/>
            <a:ext cx="1225868" cy="1163003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316E4EAE-1A5A-E53E-0E5F-C759C87B8A2B}"/>
              </a:ext>
            </a:extLst>
          </xdr:cNvPr>
          <xdr:cNvSpPr/>
        </xdr:nvSpPr>
        <xdr:spPr>
          <a:xfrm>
            <a:off x="2106931" y="1245394"/>
            <a:ext cx="5825966" cy="53292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 DE VENDAS EA PLAY SEASON PASS</a:t>
            </a:r>
          </a:p>
        </xdr:txBody>
      </xdr:sp>
    </xdr:grpSp>
    <xdr:clientData/>
  </xdr:twoCellAnchor>
  <xdr:twoCellAnchor>
    <xdr:from>
      <xdr:col>12</xdr:col>
      <xdr:colOff>72391</xdr:colOff>
      <xdr:row>7</xdr:row>
      <xdr:rowOff>130951</xdr:rowOff>
    </xdr:from>
    <xdr:to>
      <xdr:col>21</xdr:col>
      <xdr:colOff>398622</xdr:colOff>
      <xdr:row>16</xdr:row>
      <xdr:rowOff>56197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75E4F1FE-2180-64AA-829F-2693F7C80E7D}"/>
            </a:ext>
          </a:extLst>
        </xdr:cNvPr>
        <xdr:cNvGrpSpPr/>
      </xdr:nvGrpSpPr>
      <xdr:grpSpPr>
        <a:xfrm>
          <a:off x="8044083" y="1259297"/>
          <a:ext cx="5780393" cy="1866881"/>
          <a:chOff x="8121016" y="1249186"/>
          <a:chExt cx="5816441" cy="1792146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9737A044-E70A-EE10-12D7-683A1DB60638}"/>
              </a:ext>
            </a:extLst>
          </xdr:cNvPr>
          <xdr:cNvSpPr/>
        </xdr:nvSpPr>
        <xdr:spPr>
          <a:xfrm>
            <a:off x="8134323" y="1249186"/>
            <a:ext cx="5802658" cy="1792146"/>
          </a:xfrm>
          <a:prstGeom prst="roundRect">
            <a:avLst>
              <a:gd name="adj" fmla="val 593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8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E7F1A519-88CF-EC9C-80CE-2AE7511CA30E}"/>
              </a:ext>
            </a:extLst>
          </xdr:cNvPr>
          <xdr:cNvSpPr/>
        </xdr:nvSpPr>
        <xdr:spPr>
          <a:xfrm>
            <a:off x="9249036" y="1781132"/>
            <a:ext cx="3607901" cy="1060088"/>
          </a:xfrm>
          <a:prstGeom prst="roundRect">
            <a:avLst>
              <a:gd name="adj" fmla="val 982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99F37C8-93EB-4BD2-8792-CE19B6E4DC8B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R$ 1.140,00 </a:t>
            </a:fld>
            <a:endParaRPr lang="pt-BR" sz="8800">
              <a:solidFill>
                <a:srgbClr val="22C55E"/>
              </a:solidFill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A364C92A-9BDE-9FCD-A3C2-BB836BA5ED4B}"/>
              </a:ext>
            </a:extLst>
          </xdr:cNvPr>
          <xdr:cNvSpPr/>
        </xdr:nvSpPr>
        <xdr:spPr>
          <a:xfrm>
            <a:off x="8121016" y="1251109"/>
            <a:ext cx="5816441" cy="52360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 DE VENDAS EA MINECRAFT SEASON PASS</a:t>
            </a:r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41F1C904-0037-44AC-91B9-BDF22A9953F6}"/>
              </a:ext>
            </a:extLst>
          </xdr:cNvPr>
          <xdr:cNvGrpSpPr/>
        </xdr:nvGrpSpPr>
        <xdr:grpSpPr>
          <a:xfrm>
            <a:off x="8408643" y="1984516"/>
            <a:ext cx="1141122" cy="471029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6DF26E74-0BEE-DBB4-4794-8A52D783AAF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78232F7D-CAE1-712E-D296-75556968F13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20293</xdr:colOff>
      <xdr:row>18</xdr:row>
      <xdr:rowOff>94911</xdr:rowOff>
    </xdr:from>
    <xdr:to>
      <xdr:col>22</xdr:col>
      <xdr:colOff>20292</xdr:colOff>
      <xdr:row>34</xdr:row>
      <xdr:rowOff>170166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0B05C228-4C3E-6223-6D01-0CFA234416FB}"/>
            </a:ext>
          </a:extLst>
        </xdr:cNvPr>
        <xdr:cNvGrpSpPr/>
      </xdr:nvGrpSpPr>
      <xdr:grpSpPr>
        <a:xfrm>
          <a:off x="2079158" y="3545892"/>
          <a:ext cx="11767038" cy="3123255"/>
          <a:chOff x="2134843" y="3438186"/>
          <a:chExt cx="11820524" cy="297085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5DF437BD-ECCF-E373-E977-D041DCF0CEEE}"/>
              </a:ext>
            </a:extLst>
          </xdr:cNvPr>
          <xdr:cNvSpPr/>
        </xdr:nvSpPr>
        <xdr:spPr>
          <a:xfrm>
            <a:off x="2135395" y="3447249"/>
            <a:ext cx="11816158" cy="2961792"/>
          </a:xfrm>
          <a:prstGeom prst="roundRect">
            <a:avLst>
              <a:gd name="adj" fmla="val 497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C72F7475-608E-4E61-8291-D5CD3B0A7130}"/>
              </a:ext>
            </a:extLst>
          </xdr:cNvPr>
          <xdr:cNvGraphicFramePr>
            <a:graphicFrameLocks/>
          </xdr:cNvGraphicFramePr>
        </xdr:nvGraphicFramePr>
        <xdr:xfrm>
          <a:off x="2326005" y="3689525"/>
          <a:ext cx="11621403" cy="264492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59E29F49-B89C-468E-AAA8-4AF62CB0308C}"/>
              </a:ext>
            </a:extLst>
          </xdr:cNvPr>
          <xdr:cNvSpPr/>
        </xdr:nvSpPr>
        <xdr:spPr>
          <a:xfrm>
            <a:off x="2134843" y="3438186"/>
            <a:ext cx="11820524" cy="53953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 DE VENDAS EA PLAY SEASON PASS</a:t>
            </a:r>
          </a:p>
        </xdr:txBody>
      </xdr:sp>
    </xdr:grpSp>
    <xdr:clientData/>
  </xdr:twoCellAnchor>
  <xdr:twoCellAnchor editAs="absolute">
    <xdr:from>
      <xdr:col>0</xdr:col>
      <xdr:colOff>495300</xdr:colOff>
      <xdr:row>1</xdr:row>
      <xdr:rowOff>57150</xdr:rowOff>
    </xdr:from>
    <xdr:to>
      <xdr:col>0</xdr:col>
      <xdr:colOff>1196340</xdr:colOff>
      <xdr:row>5</xdr:row>
      <xdr:rowOff>36195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F6350FDC-683A-40D9-B7D6-3B52C8C016CA}"/>
            </a:ext>
          </a:extLst>
        </xdr:cNvPr>
        <xdr:cNvSpPr/>
      </xdr:nvSpPr>
      <xdr:spPr>
        <a:xfrm>
          <a:off x="495300" y="238125"/>
          <a:ext cx="701040" cy="65532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114300</xdr:colOff>
      <xdr:row>6</xdr:row>
      <xdr:rowOff>57150</xdr:rowOff>
    </xdr:from>
    <xdr:to>
      <xdr:col>0</xdr:col>
      <xdr:colOff>1809750</xdr:colOff>
      <xdr:row>7</xdr:row>
      <xdr:rowOff>152400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6EDBDFCE-5CA3-4AFF-3C6C-81F6233C02EC}"/>
            </a:ext>
          </a:extLst>
        </xdr:cNvPr>
        <xdr:cNvSpPr/>
      </xdr:nvSpPr>
      <xdr:spPr>
        <a:xfrm>
          <a:off x="114300" y="1038225"/>
          <a:ext cx="1685925" cy="228600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</a:t>
          </a:r>
          <a:r>
            <a:rPr lang="pt-BR" sz="1100" b="1" baseline="0"/>
            <a:t> bem vinda, Ana</a:t>
          </a:r>
          <a:endParaRPr lang="pt-BR" sz="1100" b="1"/>
        </a:p>
      </xdr:txBody>
    </xdr:sp>
    <xdr:clientData/>
  </xdr:twoCellAnchor>
  <xdr:twoCellAnchor editAs="absolute">
    <xdr:from>
      <xdr:col>1</xdr:col>
      <xdr:colOff>200024</xdr:colOff>
      <xdr:row>2</xdr:row>
      <xdr:rowOff>192405</xdr:rowOff>
    </xdr:from>
    <xdr:to>
      <xdr:col>11</xdr:col>
      <xdr:colOff>85725</xdr:colOff>
      <xdr:row>5</xdr:row>
      <xdr:rowOff>47625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3F606A04-9BDC-4F41-938B-2157D7A17DCD}"/>
            </a:ext>
          </a:extLst>
        </xdr:cNvPr>
        <xdr:cNvSpPr/>
      </xdr:nvSpPr>
      <xdr:spPr>
        <a:xfrm>
          <a:off x="2066924" y="630555"/>
          <a:ext cx="5619751" cy="2743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 b="0">
              <a:solidFill>
                <a:schemeClr val="bg2">
                  <a:lumMod val="75000"/>
                </a:schemeClr>
              </a:solidFill>
            </a:rPr>
            <a:t>Período de apuração: 01/01/2024 - 31/12/2024 | atualizado em: 01/12/2024</a:t>
          </a:r>
          <a:r>
            <a:rPr lang="pt-BR" sz="1000" b="0" baseline="0">
              <a:solidFill>
                <a:schemeClr val="bg2">
                  <a:lumMod val="75000"/>
                </a:schemeClr>
              </a:solidFill>
            </a:rPr>
            <a:t> 09:00:00</a:t>
          </a:r>
          <a:endParaRPr lang="pt-BR" sz="1000" b="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448662</xdr:colOff>
      <xdr:row>1</xdr:row>
      <xdr:rowOff>50432</xdr:rowOff>
    </xdr:from>
    <xdr:to>
      <xdr:col>0</xdr:col>
      <xdr:colOff>1223252</xdr:colOff>
      <xdr:row>5</xdr:row>
      <xdr:rowOff>116920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C10CAA39-5901-293D-EB57-C84F9CB2F466}"/>
            </a:ext>
          </a:extLst>
        </xdr:cNvPr>
        <xdr:cNvSpPr/>
      </xdr:nvSpPr>
      <xdr:spPr>
        <a:xfrm>
          <a:off x="448662" y="240089"/>
          <a:ext cx="774590" cy="753468"/>
        </a:xfrm>
        <a:prstGeom prst="ellipse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chemeClr val="bg1"/>
              </a:solidFill>
            </a:ln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F Júnior" refreshedDate="46047.294696874997" createdVersion="8" refreshedVersion="8" minRefreshableVersion="3" recordCount="295" xr:uid="{759224AC-4AA9-472F-9388-A4583E8B6A4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105901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d v="2024-01-01T00:00:00"/>
    <x v="0"/>
    <n v="15"/>
    <x v="0"/>
    <s v="Yes"/>
    <x v="0"/>
    <s v="Yes"/>
    <n v="20"/>
    <n v="5"/>
    <n v="60"/>
  </r>
  <r>
    <x v="1"/>
    <x v="1"/>
    <x v="1"/>
    <d v="2024-01-15T00:00:00"/>
    <x v="1"/>
    <n v="5"/>
    <x v="1"/>
    <s v="No"/>
    <x v="1"/>
    <s v="No"/>
    <n v="0"/>
    <n v="0"/>
    <n v="5"/>
  </r>
  <r>
    <x v="2"/>
    <x v="2"/>
    <x v="2"/>
    <d v="2024-02-10T00:00:00"/>
    <x v="0"/>
    <n v="10"/>
    <x v="2"/>
    <s v="No"/>
    <x v="1"/>
    <s v="Yes"/>
    <n v="20"/>
    <n v="10"/>
    <n v="20"/>
  </r>
  <r>
    <x v="3"/>
    <x v="3"/>
    <x v="0"/>
    <d v="2024-02-20T00:00:00"/>
    <x v="1"/>
    <n v="15"/>
    <x v="0"/>
    <s v="Yes"/>
    <x v="0"/>
    <s v="Yes"/>
    <n v="20"/>
    <n v="3"/>
    <n v="62"/>
  </r>
  <r>
    <x v="4"/>
    <x v="4"/>
    <x v="1"/>
    <d v="2024-03-05T00:00:00"/>
    <x v="0"/>
    <n v="5"/>
    <x v="0"/>
    <s v="No"/>
    <x v="1"/>
    <s v="No"/>
    <n v="0"/>
    <n v="1"/>
    <n v="4"/>
  </r>
  <r>
    <x v="5"/>
    <x v="5"/>
    <x v="2"/>
    <d v="2024-03-02T00:00:00"/>
    <x v="1"/>
    <n v="10"/>
    <x v="0"/>
    <s v="No"/>
    <x v="1"/>
    <s v="Yes"/>
    <n v="20"/>
    <n v="2"/>
    <n v="28"/>
  </r>
  <r>
    <x v="6"/>
    <x v="6"/>
    <x v="0"/>
    <d v="2024-03-03T00:00:00"/>
    <x v="0"/>
    <n v="15"/>
    <x v="2"/>
    <s v="Yes"/>
    <x v="0"/>
    <s v="Yes"/>
    <n v="20"/>
    <n v="10"/>
    <n v="55"/>
  </r>
  <r>
    <x v="7"/>
    <x v="7"/>
    <x v="1"/>
    <d v="2024-03-04T00:00:00"/>
    <x v="0"/>
    <n v="5"/>
    <x v="1"/>
    <s v="No"/>
    <x v="1"/>
    <s v="No"/>
    <n v="0"/>
    <n v="0"/>
    <n v="5"/>
  </r>
  <r>
    <x v="8"/>
    <x v="8"/>
    <x v="0"/>
    <d v="2024-03-05T00:00:00"/>
    <x v="1"/>
    <n v="15"/>
    <x v="0"/>
    <s v="Yes"/>
    <x v="0"/>
    <s v="Yes"/>
    <n v="20"/>
    <n v="5"/>
    <n v="60"/>
  </r>
  <r>
    <x v="9"/>
    <x v="9"/>
    <x v="2"/>
    <d v="2024-03-06T00:00:00"/>
    <x v="0"/>
    <n v="10"/>
    <x v="2"/>
    <s v="No"/>
    <x v="1"/>
    <s v="Yes"/>
    <n v="20"/>
    <n v="15"/>
    <n v="15"/>
  </r>
  <r>
    <x v="10"/>
    <x v="10"/>
    <x v="1"/>
    <d v="2024-03-07T00:00:00"/>
    <x v="1"/>
    <n v="5"/>
    <x v="0"/>
    <s v="No"/>
    <x v="1"/>
    <s v="No"/>
    <n v="0"/>
    <n v="1"/>
    <n v="4"/>
  </r>
  <r>
    <x v="11"/>
    <x v="11"/>
    <x v="0"/>
    <d v="2024-03-08T00:00:00"/>
    <x v="0"/>
    <n v="15"/>
    <x v="1"/>
    <s v="Yes"/>
    <x v="0"/>
    <s v="Yes"/>
    <n v="20"/>
    <n v="20"/>
    <n v="45"/>
  </r>
  <r>
    <x v="12"/>
    <x v="12"/>
    <x v="2"/>
    <d v="2024-03-09T00:00:00"/>
    <x v="1"/>
    <n v="10"/>
    <x v="0"/>
    <s v="No"/>
    <x v="1"/>
    <s v="Yes"/>
    <n v="20"/>
    <n v="10"/>
    <n v="20"/>
  </r>
  <r>
    <x v="13"/>
    <x v="13"/>
    <x v="1"/>
    <d v="2024-03-10T00:00:00"/>
    <x v="0"/>
    <n v="5"/>
    <x v="2"/>
    <s v="No"/>
    <x v="1"/>
    <s v="No"/>
    <n v="0"/>
    <n v="0"/>
    <n v="5"/>
  </r>
  <r>
    <x v="14"/>
    <x v="14"/>
    <x v="0"/>
    <d v="2024-03-11T00:00:00"/>
    <x v="1"/>
    <n v="15"/>
    <x v="0"/>
    <s v="Yes"/>
    <x v="0"/>
    <s v="Yes"/>
    <n v="20"/>
    <n v="8"/>
    <n v="57"/>
  </r>
  <r>
    <x v="15"/>
    <x v="15"/>
    <x v="2"/>
    <d v="2024-03-12T00:00:00"/>
    <x v="0"/>
    <n v="10"/>
    <x v="1"/>
    <s v="No"/>
    <x v="1"/>
    <s v="Yes"/>
    <n v="20"/>
    <n v="12"/>
    <n v="18"/>
  </r>
  <r>
    <x v="16"/>
    <x v="16"/>
    <x v="1"/>
    <d v="2024-03-13T00:00:00"/>
    <x v="1"/>
    <n v="5"/>
    <x v="0"/>
    <s v="No"/>
    <x v="1"/>
    <s v="No"/>
    <n v="0"/>
    <n v="2"/>
    <n v="3"/>
  </r>
  <r>
    <x v="17"/>
    <x v="17"/>
    <x v="0"/>
    <d v="2024-03-14T00:00:00"/>
    <x v="0"/>
    <n v="15"/>
    <x v="2"/>
    <s v="Yes"/>
    <x v="0"/>
    <s v="Yes"/>
    <n v="20"/>
    <n v="7"/>
    <n v="58"/>
  </r>
  <r>
    <x v="18"/>
    <x v="18"/>
    <x v="2"/>
    <d v="2024-03-15T00:00:00"/>
    <x v="1"/>
    <n v="10"/>
    <x v="0"/>
    <s v="No"/>
    <x v="1"/>
    <s v="Yes"/>
    <n v="20"/>
    <n v="5"/>
    <n v="25"/>
  </r>
  <r>
    <x v="19"/>
    <x v="19"/>
    <x v="1"/>
    <d v="2024-03-16T00:00:00"/>
    <x v="0"/>
    <n v="5"/>
    <x v="1"/>
    <s v="No"/>
    <x v="1"/>
    <s v="No"/>
    <n v="0"/>
    <n v="0"/>
    <n v="5"/>
  </r>
  <r>
    <x v="20"/>
    <x v="20"/>
    <x v="0"/>
    <d v="2024-03-17T00:00:00"/>
    <x v="1"/>
    <n v="15"/>
    <x v="0"/>
    <s v="Yes"/>
    <x v="0"/>
    <s v="Yes"/>
    <n v="20"/>
    <n v="3"/>
    <n v="62"/>
  </r>
  <r>
    <x v="21"/>
    <x v="21"/>
    <x v="2"/>
    <d v="2024-03-18T00:00:00"/>
    <x v="0"/>
    <n v="10"/>
    <x v="2"/>
    <s v="No"/>
    <x v="1"/>
    <s v="Yes"/>
    <n v="20"/>
    <n v="15"/>
    <n v="15"/>
  </r>
  <r>
    <x v="22"/>
    <x v="22"/>
    <x v="1"/>
    <d v="2024-03-19T00:00:00"/>
    <x v="1"/>
    <n v="5"/>
    <x v="0"/>
    <s v="No"/>
    <x v="1"/>
    <s v="No"/>
    <n v="0"/>
    <n v="1"/>
    <n v="4"/>
  </r>
  <r>
    <x v="23"/>
    <x v="23"/>
    <x v="0"/>
    <d v="2024-03-20T00:00:00"/>
    <x v="0"/>
    <n v="15"/>
    <x v="1"/>
    <s v="Yes"/>
    <x v="0"/>
    <s v="Yes"/>
    <n v="20"/>
    <n v="20"/>
    <n v="45"/>
  </r>
  <r>
    <x v="24"/>
    <x v="24"/>
    <x v="2"/>
    <d v="2024-03-21T00:00:00"/>
    <x v="1"/>
    <n v="10"/>
    <x v="0"/>
    <s v="No"/>
    <x v="1"/>
    <s v="Yes"/>
    <n v="20"/>
    <n v="10"/>
    <n v="20"/>
  </r>
  <r>
    <x v="25"/>
    <x v="25"/>
    <x v="1"/>
    <d v="2024-03-22T00:00:00"/>
    <x v="0"/>
    <n v="5"/>
    <x v="2"/>
    <s v="No"/>
    <x v="1"/>
    <s v="No"/>
    <n v="0"/>
    <n v="0"/>
    <n v="5"/>
  </r>
  <r>
    <x v="26"/>
    <x v="26"/>
    <x v="0"/>
    <d v="2024-03-23T00:00:00"/>
    <x v="1"/>
    <n v="15"/>
    <x v="0"/>
    <s v="Yes"/>
    <x v="0"/>
    <s v="Yes"/>
    <n v="20"/>
    <n v="5"/>
    <n v="60"/>
  </r>
  <r>
    <x v="27"/>
    <x v="27"/>
    <x v="2"/>
    <d v="2024-03-24T00:00:00"/>
    <x v="0"/>
    <n v="10"/>
    <x v="1"/>
    <s v="No"/>
    <x v="1"/>
    <s v="Yes"/>
    <n v="20"/>
    <n v="15"/>
    <n v="15"/>
  </r>
  <r>
    <x v="28"/>
    <x v="28"/>
    <x v="1"/>
    <d v="2024-03-25T00:00:00"/>
    <x v="1"/>
    <n v="5"/>
    <x v="0"/>
    <s v="No"/>
    <x v="1"/>
    <s v="No"/>
    <n v="0"/>
    <n v="1"/>
    <n v="4"/>
  </r>
  <r>
    <x v="29"/>
    <x v="29"/>
    <x v="0"/>
    <d v="2024-03-26T00:00:00"/>
    <x v="0"/>
    <n v="15"/>
    <x v="2"/>
    <s v="Yes"/>
    <x v="0"/>
    <s v="Yes"/>
    <n v="20"/>
    <n v="7"/>
    <n v="58"/>
  </r>
  <r>
    <x v="30"/>
    <x v="30"/>
    <x v="2"/>
    <d v="2024-03-27T00:00:00"/>
    <x v="1"/>
    <n v="10"/>
    <x v="0"/>
    <s v="No"/>
    <x v="1"/>
    <s v="Yes"/>
    <n v="20"/>
    <n v="10"/>
    <n v="20"/>
  </r>
  <r>
    <x v="31"/>
    <x v="31"/>
    <x v="1"/>
    <d v="2024-03-28T00:00:00"/>
    <x v="0"/>
    <n v="5"/>
    <x v="1"/>
    <s v="No"/>
    <x v="1"/>
    <s v="No"/>
    <n v="0"/>
    <n v="0"/>
    <n v="5"/>
  </r>
  <r>
    <x v="32"/>
    <x v="32"/>
    <x v="0"/>
    <d v="2024-03-29T00:00:00"/>
    <x v="1"/>
    <n v="15"/>
    <x v="0"/>
    <s v="Yes"/>
    <x v="0"/>
    <s v="Yes"/>
    <n v="20"/>
    <n v="3"/>
    <n v="62"/>
  </r>
  <r>
    <x v="33"/>
    <x v="33"/>
    <x v="2"/>
    <d v="2024-03-30T00:00:00"/>
    <x v="0"/>
    <n v="10"/>
    <x v="2"/>
    <s v="No"/>
    <x v="1"/>
    <s v="Yes"/>
    <n v="20"/>
    <n v="15"/>
    <n v="15"/>
  </r>
  <r>
    <x v="34"/>
    <x v="34"/>
    <x v="1"/>
    <d v="2024-03-31T00:00:00"/>
    <x v="1"/>
    <n v="5"/>
    <x v="0"/>
    <s v="No"/>
    <x v="1"/>
    <s v="No"/>
    <n v="0"/>
    <n v="1"/>
    <n v="4"/>
  </r>
  <r>
    <x v="35"/>
    <x v="35"/>
    <x v="1"/>
    <d v="2024-04-01T00:00:00"/>
    <x v="0"/>
    <n v="5"/>
    <x v="0"/>
    <s v="No"/>
    <x v="1"/>
    <s v="No"/>
    <n v="0"/>
    <n v="0"/>
    <n v="5"/>
  </r>
  <r>
    <x v="36"/>
    <x v="36"/>
    <x v="0"/>
    <d v="2024-04-02T00:00:00"/>
    <x v="1"/>
    <n v="15"/>
    <x v="2"/>
    <s v="Yes"/>
    <x v="0"/>
    <s v="Yes"/>
    <n v="20"/>
    <n v="7"/>
    <n v="58"/>
  </r>
  <r>
    <x v="37"/>
    <x v="37"/>
    <x v="2"/>
    <d v="2024-04-03T00:00:00"/>
    <x v="0"/>
    <n v="10"/>
    <x v="1"/>
    <s v="No"/>
    <x v="1"/>
    <s v="Yes"/>
    <n v="20"/>
    <n v="10"/>
    <n v="20"/>
  </r>
  <r>
    <x v="38"/>
    <x v="38"/>
    <x v="1"/>
    <d v="2024-04-04T00:00:00"/>
    <x v="1"/>
    <n v="5"/>
    <x v="2"/>
    <s v="No"/>
    <x v="1"/>
    <s v="No"/>
    <n v="0"/>
    <n v="1"/>
    <n v="4"/>
  </r>
  <r>
    <x v="39"/>
    <x v="39"/>
    <x v="0"/>
    <d v="2024-04-05T00:00:00"/>
    <x v="0"/>
    <n v="15"/>
    <x v="0"/>
    <s v="Yes"/>
    <x v="0"/>
    <s v="Yes"/>
    <n v="20"/>
    <n v="15"/>
    <n v="50"/>
  </r>
  <r>
    <x v="40"/>
    <x v="40"/>
    <x v="2"/>
    <d v="2024-04-06T00:00:00"/>
    <x v="1"/>
    <n v="10"/>
    <x v="0"/>
    <s v="No"/>
    <x v="1"/>
    <s v="Yes"/>
    <n v="20"/>
    <n v="5"/>
    <n v="25"/>
  </r>
  <r>
    <x v="41"/>
    <x v="41"/>
    <x v="1"/>
    <d v="2024-04-07T00:00:00"/>
    <x v="0"/>
    <n v="5"/>
    <x v="1"/>
    <s v="No"/>
    <x v="1"/>
    <s v="No"/>
    <n v="0"/>
    <n v="0"/>
    <n v="5"/>
  </r>
  <r>
    <x v="42"/>
    <x v="42"/>
    <x v="0"/>
    <d v="2024-04-08T00:00:00"/>
    <x v="1"/>
    <n v="15"/>
    <x v="2"/>
    <s v="Yes"/>
    <x v="0"/>
    <s v="Yes"/>
    <n v="20"/>
    <n v="20"/>
    <n v="45"/>
  </r>
  <r>
    <x v="43"/>
    <x v="43"/>
    <x v="2"/>
    <d v="2024-04-09T00:00:00"/>
    <x v="0"/>
    <n v="10"/>
    <x v="2"/>
    <s v="No"/>
    <x v="1"/>
    <s v="Yes"/>
    <n v="20"/>
    <n v="12"/>
    <n v="18"/>
  </r>
  <r>
    <x v="44"/>
    <x v="44"/>
    <x v="1"/>
    <d v="2024-04-10T00:00:00"/>
    <x v="1"/>
    <n v="5"/>
    <x v="0"/>
    <s v="No"/>
    <x v="1"/>
    <s v="No"/>
    <n v="0"/>
    <n v="2"/>
    <n v="3"/>
  </r>
  <r>
    <x v="45"/>
    <x v="45"/>
    <x v="0"/>
    <d v="2024-04-11T00:00:00"/>
    <x v="0"/>
    <n v="15"/>
    <x v="1"/>
    <s v="Yes"/>
    <x v="0"/>
    <s v="Yes"/>
    <n v="20"/>
    <n v="5"/>
    <n v="60"/>
  </r>
  <r>
    <x v="46"/>
    <x v="46"/>
    <x v="2"/>
    <d v="2024-04-12T00:00:00"/>
    <x v="1"/>
    <n v="10"/>
    <x v="0"/>
    <s v="No"/>
    <x v="1"/>
    <s v="Yes"/>
    <n v="20"/>
    <n v="10"/>
    <n v="20"/>
  </r>
  <r>
    <x v="47"/>
    <x v="47"/>
    <x v="1"/>
    <d v="2024-04-13T00:00:00"/>
    <x v="0"/>
    <n v="5"/>
    <x v="2"/>
    <s v="No"/>
    <x v="1"/>
    <s v="No"/>
    <n v="0"/>
    <n v="0"/>
    <n v="5"/>
  </r>
  <r>
    <x v="48"/>
    <x v="48"/>
    <x v="0"/>
    <d v="2024-04-14T00:00:00"/>
    <x v="1"/>
    <n v="15"/>
    <x v="0"/>
    <s v="Yes"/>
    <x v="0"/>
    <s v="Yes"/>
    <n v="20"/>
    <n v="3"/>
    <n v="62"/>
  </r>
  <r>
    <x v="49"/>
    <x v="49"/>
    <x v="2"/>
    <d v="2024-04-15T00:00:00"/>
    <x v="0"/>
    <n v="10"/>
    <x v="1"/>
    <s v="No"/>
    <x v="1"/>
    <s v="Yes"/>
    <n v="20"/>
    <n v="15"/>
    <n v="15"/>
  </r>
  <r>
    <x v="50"/>
    <x v="50"/>
    <x v="1"/>
    <d v="2024-04-16T00:00:00"/>
    <x v="1"/>
    <n v="5"/>
    <x v="0"/>
    <s v="No"/>
    <x v="1"/>
    <s v="No"/>
    <n v="0"/>
    <n v="1"/>
    <n v="4"/>
  </r>
  <r>
    <x v="51"/>
    <x v="51"/>
    <x v="0"/>
    <d v="2024-04-17T00:00:00"/>
    <x v="0"/>
    <n v="15"/>
    <x v="2"/>
    <s v="Yes"/>
    <x v="0"/>
    <s v="Yes"/>
    <n v="20"/>
    <n v="7"/>
    <n v="58"/>
  </r>
  <r>
    <x v="52"/>
    <x v="52"/>
    <x v="2"/>
    <d v="2024-04-18T00:00:00"/>
    <x v="1"/>
    <n v="10"/>
    <x v="0"/>
    <s v="No"/>
    <x v="1"/>
    <s v="Yes"/>
    <n v="20"/>
    <n v="10"/>
    <n v="20"/>
  </r>
  <r>
    <x v="53"/>
    <x v="53"/>
    <x v="1"/>
    <d v="2024-04-19T00:00:00"/>
    <x v="0"/>
    <n v="5"/>
    <x v="1"/>
    <s v="No"/>
    <x v="1"/>
    <s v="No"/>
    <n v="0"/>
    <n v="0"/>
    <n v="5"/>
  </r>
  <r>
    <x v="54"/>
    <x v="54"/>
    <x v="0"/>
    <d v="2024-04-20T00:00:00"/>
    <x v="1"/>
    <n v="15"/>
    <x v="0"/>
    <s v="Yes"/>
    <x v="0"/>
    <s v="Yes"/>
    <n v="20"/>
    <n v="20"/>
    <n v="45"/>
  </r>
  <r>
    <x v="55"/>
    <x v="55"/>
    <x v="2"/>
    <d v="2024-04-21T00:00:00"/>
    <x v="0"/>
    <n v="10"/>
    <x v="2"/>
    <s v="No"/>
    <x v="1"/>
    <s v="Yes"/>
    <n v="20"/>
    <n v="15"/>
    <n v="15"/>
  </r>
  <r>
    <x v="56"/>
    <x v="56"/>
    <x v="1"/>
    <d v="2024-04-22T00:00:00"/>
    <x v="1"/>
    <n v="5"/>
    <x v="0"/>
    <s v="No"/>
    <x v="1"/>
    <s v="No"/>
    <n v="0"/>
    <n v="1"/>
    <n v="4"/>
  </r>
  <r>
    <x v="57"/>
    <x v="57"/>
    <x v="0"/>
    <d v="2024-04-23T00:00:00"/>
    <x v="0"/>
    <n v="15"/>
    <x v="1"/>
    <s v="Yes"/>
    <x v="0"/>
    <s v="Yes"/>
    <n v="20"/>
    <n v="3"/>
    <n v="62"/>
  </r>
  <r>
    <x v="58"/>
    <x v="58"/>
    <x v="2"/>
    <d v="2024-04-24T00:00:00"/>
    <x v="1"/>
    <n v="10"/>
    <x v="0"/>
    <s v="No"/>
    <x v="1"/>
    <s v="Yes"/>
    <n v="20"/>
    <n v="10"/>
    <n v="20"/>
  </r>
  <r>
    <x v="59"/>
    <x v="59"/>
    <x v="1"/>
    <d v="2024-04-25T00:00:00"/>
    <x v="0"/>
    <n v="5"/>
    <x v="2"/>
    <s v="No"/>
    <x v="1"/>
    <s v="No"/>
    <n v="0"/>
    <n v="0"/>
    <n v="5"/>
  </r>
  <r>
    <x v="60"/>
    <x v="60"/>
    <x v="0"/>
    <d v="2024-04-26T00:00:00"/>
    <x v="1"/>
    <n v="15"/>
    <x v="0"/>
    <s v="Yes"/>
    <x v="0"/>
    <s v="Yes"/>
    <n v="20"/>
    <n v="5"/>
    <n v="60"/>
  </r>
  <r>
    <x v="61"/>
    <x v="61"/>
    <x v="2"/>
    <d v="2024-04-27T00:00:00"/>
    <x v="0"/>
    <n v="10"/>
    <x v="1"/>
    <s v="No"/>
    <x v="1"/>
    <s v="Yes"/>
    <n v="20"/>
    <n v="15"/>
    <n v="15"/>
  </r>
  <r>
    <x v="62"/>
    <x v="62"/>
    <x v="1"/>
    <d v="2024-04-28T00:00:00"/>
    <x v="1"/>
    <n v="5"/>
    <x v="0"/>
    <s v="No"/>
    <x v="1"/>
    <s v="No"/>
    <n v="0"/>
    <n v="1"/>
    <n v="4"/>
  </r>
  <r>
    <x v="63"/>
    <x v="63"/>
    <x v="0"/>
    <d v="2024-04-29T00:00:00"/>
    <x v="0"/>
    <n v="15"/>
    <x v="2"/>
    <s v="Yes"/>
    <x v="0"/>
    <s v="Yes"/>
    <n v="20"/>
    <n v="20"/>
    <n v="45"/>
  </r>
  <r>
    <x v="64"/>
    <x v="64"/>
    <x v="2"/>
    <d v="2024-04-30T00:00:00"/>
    <x v="1"/>
    <n v="10"/>
    <x v="0"/>
    <s v="No"/>
    <x v="1"/>
    <s v="Yes"/>
    <n v="20"/>
    <n v="5"/>
    <n v="25"/>
  </r>
  <r>
    <x v="65"/>
    <x v="65"/>
    <x v="1"/>
    <d v="2024-05-01T00:00:00"/>
    <x v="1"/>
    <n v="5"/>
    <x v="0"/>
    <s v="No"/>
    <x v="1"/>
    <s v="No"/>
    <n v="0"/>
    <n v="0"/>
    <n v="5"/>
  </r>
  <r>
    <x v="66"/>
    <x v="66"/>
    <x v="0"/>
    <d v="2024-05-02T00:00:00"/>
    <x v="0"/>
    <n v="15"/>
    <x v="2"/>
    <s v="Yes"/>
    <x v="0"/>
    <s v="Yes"/>
    <n v="20"/>
    <n v="7"/>
    <n v="58"/>
  </r>
  <r>
    <x v="67"/>
    <x v="67"/>
    <x v="2"/>
    <d v="2024-05-03T00:00:00"/>
    <x v="1"/>
    <n v="10"/>
    <x v="1"/>
    <s v="No"/>
    <x v="1"/>
    <s v="Yes"/>
    <n v="20"/>
    <n v="10"/>
    <n v="20"/>
  </r>
  <r>
    <x v="68"/>
    <x v="68"/>
    <x v="1"/>
    <d v="2024-05-04T00:00:00"/>
    <x v="0"/>
    <n v="5"/>
    <x v="2"/>
    <s v="No"/>
    <x v="1"/>
    <s v="No"/>
    <n v="0"/>
    <n v="1"/>
    <n v="4"/>
  </r>
  <r>
    <x v="69"/>
    <x v="69"/>
    <x v="0"/>
    <d v="2024-05-05T00:00:00"/>
    <x v="1"/>
    <n v="15"/>
    <x v="0"/>
    <s v="Yes"/>
    <x v="0"/>
    <s v="Yes"/>
    <n v="20"/>
    <n v="15"/>
    <n v="50"/>
  </r>
  <r>
    <x v="70"/>
    <x v="70"/>
    <x v="2"/>
    <d v="2024-05-06T00:00:00"/>
    <x v="0"/>
    <n v="10"/>
    <x v="0"/>
    <s v="No"/>
    <x v="1"/>
    <s v="Yes"/>
    <n v="20"/>
    <n v="5"/>
    <n v="25"/>
  </r>
  <r>
    <x v="71"/>
    <x v="71"/>
    <x v="1"/>
    <d v="2024-05-07T00:00:00"/>
    <x v="1"/>
    <n v="5"/>
    <x v="1"/>
    <s v="No"/>
    <x v="1"/>
    <s v="No"/>
    <n v="0"/>
    <n v="0"/>
    <n v="5"/>
  </r>
  <r>
    <x v="72"/>
    <x v="72"/>
    <x v="0"/>
    <d v="2024-05-08T00:00:00"/>
    <x v="0"/>
    <n v="15"/>
    <x v="2"/>
    <s v="Yes"/>
    <x v="0"/>
    <s v="Yes"/>
    <n v="20"/>
    <n v="20"/>
    <n v="45"/>
  </r>
  <r>
    <x v="73"/>
    <x v="73"/>
    <x v="2"/>
    <d v="2024-05-09T00:00:00"/>
    <x v="1"/>
    <n v="10"/>
    <x v="2"/>
    <s v="No"/>
    <x v="1"/>
    <s v="Yes"/>
    <n v="20"/>
    <n v="12"/>
    <n v="18"/>
  </r>
  <r>
    <x v="74"/>
    <x v="74"/>
    <x v="1"/>
    <d v="2024-05-10T00:00:00"/>
    <x v="0"/>
    <n v="5"/>
    <x v="0"/>
    <s v="No"/>
    <x v="1"/>
    <s v="No"/>
    <n v="0"/>
    <n v="2"/>
    <n v="3"/>
  </r>
  <r>
    <x v="75"/>
    <x v="75"/>
    <x v="0"/>
    <d v="2024-05-11T00:00:00"/>
    <x v="1"/>
    <n v="15"/>
    <x v="1"/>
    <s v="Yes"/>
    <x v="0"/>
    <s v="Yes"/>
    <n v="20"/>
    <n v="5"/>
    <n v="60"/>
  </r>
  <r>
    <x v="76"/>
    <x v="76"/>
    <x v="2"/>
    <d v="2024-05-12T00:00:00"/>
    <x v="0"/>
    <n v="10"/>
    <x v="0"/>
    <s v="No"/>
    <x v="1"/>
    <s v="Yes"/>
    <n v="20"/>
    <n v="10"/>
    <n v="20"/>
  </r>
  <r>
    <x v="77"/>
    <x v="77"/>
    <x v="1"/>
    <d v="2024-05-13T00:00:00"/>
    <x v="1"/>
    <n v="5"/>
    <x v="2"/>
    <s v="No"/>
    <x v="1"/>
    <s v="No"/>
    <n v="0"/>
    <n v="0"/>
    <n v="5"/>
  </r>
  <r>
    <x v="78"/>
    <x v="78"/>
    <x v="0"/>
    <d v="2024-05-14T00:00:00"/>
    <x v="0"/>
    <n v="15"/>
    <x v="0"/>
    <s v="Yes"/>
    <x v="0"/>
    <s v="Yes"/>
    <n v="20"/>
    <n v="3"/>
    <n v="62"/>
  </r>
  <r>
    <x v="79"/>
    <x v="79"/>
    <x v="2"/>
    <d v="2024-05-15T00:00:00"/>
    <x v="1"/>
    <n v="10"/>
    <x v="1"/>
    <s v="No"/>
    <x v="1"/>
    <s v="Yes"/>
    <n v="20"/>
    <n v="15"/>
    <n v="15"/>
  </r>
  <r>
    <x v="80"/>
    <x v="80"/>
    <x v="1"/>
    <d v="2024-05-16T00:00:00"/>
    <x v="0"/>
    <n v="5"/>
    <x v="0"/>
    <s v="No"/>
    <x v="1"/>
    <s v="No"/>
    <n v="0"/>
    <n v="1"/>
    <n v="4"/>
  </r>
  <r>
    <x v="81"/>
    <x v="81"/>
    <x v="0"/>
    <d v="2024-05-17T00:00:00"/>
    <x v="1"/>
    <n v="15"/>
    <x v="2"/>
    <s v="Yes"/>
    <x v="0"/>
    <s v="Yes"/>
    <n v="20"/>
    <n v="7"/>
    <n v="58"/>
  </r>
  <r>
    <x v="82"/>
    <x v="82"/>
    <x v="2"/>
    <d v="2024-05-18T00:00:00"/>
    <x v="0"/>
    <n v="10"/>
    <x v="0"/>
    <s v="No"/>
    <x v="1"/>
    <s v="Yes"/>
    <n v="20"/>
    <n v="10"/>
    <n v="20"/>
  </r>
  <r>
    <x v="83"/>
    <x v="83"/>
    <x v="1"/>
    <d v="2024-05-19T00:00:00"/>
    <x v="1"/>
    <n v="5"/>
    <x v="1"/>
    <s v="No"/>
    <x v="1"/>
    <s v="No"/>
    <n v="0"/>
    <n v="0"/>
    <n v="5"/>
  </r>
  <r>
    <x v="84"/>
    <x v="84"/>
    <x v="0"/>
    <d v="2024-05-20T00:00:00"/>
    <x v="0"/>
    <n v="15"/>
    <x v="0"/>
    <s v="Yes"/>
    <x v="0"/>
    <s v="Yes"/>
    <n v="20"/>
    <n v="20"/>
    <n v="45"/>
  </r>
  <r>
    <x v="85"/>
    <x v="85"/>
    <x v="2"/>
    <d v="2024-05-21T00:00:00"/>
    <x v="1"/>
    <n v="10"/>
    <x v="2"/>
    <s v="No"/>
    <x v="1"/>
    <s v="Yes"/>
    <n v="20"/>
    <n v="15"/>
    <n v="15"/>
  </r>
  <r>
    <x v="86"/>
    <x v="86"/>
    <x v="1"/>
    <d v="2024-05-22T00:00:00"/>
    <x v="0"/>
    <n v="5"/>
    <x v="0"/>
    <s v="No"/>
    <x v="1"/>
    <s v="No"/>
    <n v="0"/>
    <n v="1"/>
    <n v="4"/>
  </r>
  <r>
    <x v="87"/>
    <x v="87"/>
    <x v="0"/>
    <d v="2024-05-23T00:00:00"/>
    <x v="1"/>
    <n v="15"/>
    <x v="1"/>
    <s v="Yes"/>
    <x v="0"/>
    <s v="Yes"/>
    <n v="20"/>
    <n v="3"/>
    <n v="62"/>
  </r>
  <r>
    <x v="88"/>
    <x v="88"/>
    <x v="2"/>
    <d v="2024-05-24T00:00:00"/>
    <x v="0"/>
    <n v="10"/>
    <x v="0"/>
    <s v="No"/>
    <x v="1"/>
    <s v="Yes"/>
    <n v="20"/>
    <n v="10"/>
    <n v="20"/>
  </r>
  <r>
    <x v="89"/>
    <x v="89"/>
    <x v="1"/>
    <d v="2024-05-25T00:00:00"/>
    <x v="1"/>
    <n v="5"/>
    <x v="2"/>
    <s v="No"/>
    <x v="1"/>
    <s v="No"/>
    <n v="0"/>
    <n v="0"/>
    <n v="5"/>
  </r>
  <r>
    <x v="90"/>
    <x v="90"/>
    <x v="0"/>
    <d v="2024-05-26T00:00:00"/>
    <x v="0"/>
    <n v="15"/>
    <x v="0"/>
    <s v="Yes"/>
    <x v="0"/>
    <s v="Yes"/>
    <n v="20"/>
    <n v="5"/>
    <n v="60"/>
  </r>
  <r>
    <x v="91"/>
    <x v="91"/>
    <x v="2"/>
    <d v="2024-05-27T00:00:00"/>
    <x v="1"/>
    <n v="10"/>
    <x v="1"/>
    <s v="No"/>
    <x v="1"/>
    <s v="Yes"/>
    <n v="20"/>
    <n v="15"/>
    <n v="15"/>
  </r>
  <r>
    <x v="92"/>
    <x v="92"/>
    <x v="1"/>
    <d v="2024-05-28T00:00:00"/>
    <x v="0"/>
    <n v="5"/>
    <x v="0"/>
    <s v="No"/>
    <x v="1"/>
    <s v="No"/>
    <n v="0"/>
    <n v="1"/>
    <n v="4"/>
  </r>
  <r>
    <x v="93"/>
    <x v="93"/>
    <x v="0"/>
    <d v="2024-05-29T00:00:00"/>
    <x v="1"/>
    <n v="15"/>
    <x v="2"/>
    <s v="Yes"/>
    <x v="0"/>
    <s v="Yes"/>
    <n v="20"/>
    <n v="20"/>
    <n v="45"/>
  </r>
  <r>
    <x v="94"/>
    <x v="94"/>
    <x v="2"/>
    <d v="2024-05-30T00:00:00"/>
    <x v="0"/>
    <n v="10"/>
    <x v="2"/>
    <s v="No"/>
    <x v="1"/>
    <s v="Yes"/>
    <n v="20"/>
    <n v="15"/>
    <n v="15"/>
  </r>
  <r>
    <x v="95"/>
    <x v="95"/>
    <x v="1"/>
    <d v="2024-05-31T00:00:00"/>
    <x v="1"/>
    <n v="5"/>
    <x v="1"/>
    <s v="No"/>
    <x v="1"/>
    <s v="No"/>
    <n v="0"/>
    <n v="0"/>
    <n v="5"/>
  </r>
  <r>
    <x v="96"/>
    <x v="96"/>
    <x v="0"/>
    <d v="2024-06-01T00:00:00"/>
    <x v="0"/>
    <n v="15"/>
    <x v="0"/>
    <s v="Yes"/>
    <x v="0"/>
    <s v="Yes"/>
    <n v="20"/>
    <n v="7"/>
    <n v="58"/>
  </r>
  <r>
    <x v="97"/>
    <x v="97"/>
    <x v="2"/>
    <d v="2024-06-02T00:00:00"/>
    <x v="1"/>
    <n v="10"/>
    <x v="1"/>
    <s v="No"/>
    <x v="1"/>
    <s v="Yes"/>
    <n v="20"/>
    <n v="10"/>
    <n v="20"/>
  </r>
  <r>
    <x v="98"/>
    <x v="98"/>
    <x v="1"/>
    <d v="2024-06-03T00:00:00"/>
    <x v="0"/>
    <n v="5"/>
    <x v="2"/>
    <s v="No"/>
    <x v="1"/>
    <s v="No"/>
    <n v="0"/>
    <n v="1"/>
    <n v="4"/>
  </r>
  <r>
    <x v="99"/>
    <x v="99"/>
    <x v="0"/>
    <d v="2024-06-04T00:00:00"/>
    <x v="1"/>
    <n v="15"/>
    <x v="0"/>
    <s v="Yes"/>
    <x v="0"/>
    <s v="Yes"/>
    <n v="20"/>
    <n v="15"/>
    <n v="50"/>
  </r>
  <r>
    <x v="100"/>
    <x v="100"/>
    <x v="2"/>
    <d v="2024-06-05T00:00:00"/>
    <x v="0"/>
    <n v="10"/>
    <x v="0"/>
    <s v="No"/>
    <x v="1"/>
    <s v="Yes"/>
    <n v="20"/>
    <n v="5"/>
    <n v="25"/>
  </r>
  <r>
    <x v="101"/>
    <x v="101"/>
    <x v="1"/>
    <d v="2024-06-06T00:00:00"/>
    <x v="1"/>
    <n v="5"/>
    <x v="1"/>
    <s v="No"/>
    <x v="1"/>
    <s v="No"/>
    <n v="0"/>
    <n v="0"/>
    <n v="5"/>
  </r>
  <r>
    <x v="102"/>
    <x v="102"/>
    <x v="0"/>
    <d v="2024-06-07T00:00:00"/>
    <x v="0"/>
    <n v="15"/>
    <x v="2"/>
    <s v="Yes"/>
    <x v="0"/>
    <s v="Yes"/>
    <n v="20"/>
    <n v="20"/>
    <n v="45"/>
  </r>
  <r>
    <x v="103"/>
    <x v="103"/>
    <x v="2"/>
    <d v="2024-06-08T00:00:00"/>
    <x v="1"/>
    <n v="10"/>
    <x v="2"/>
    <s v="No"/>
    <x v="1"/>
    <s v="Yes"/>
    <n v="20"/>
    <n v="12"/>
    <n v="18"/>
  </r>
  <r>
    <x v="104"/>
    <x v="104"/>
    <x v="1"/>
    <d v="2024-06-09T00:00:00"/>
    <x v="0"/>
    <n v="5"/>
    <x v="0"/>
    <s v="No"/>
    <x v="1"/>
    <s v="No"/>
    <n v="0"/>
    <n v="2"/>
    <n v="3"/>
  </r>
  <r>
    <x v="105"/>
    <x v="105"/>
    <x v="1"/>
    <d v="2024-06-10T00:00:00"/>
    <x v="0"/>
    <n v="5"/>
    <x v="0"/>
    <s v="No"/>
    <x v="1"/>
    <s v="No"/>
    <n v="0"/>
    <n v="0"/>
    <n v="5"/>
  </r>
  <r>
    <x v="106"/>
    <x v="106"/>
    <x v="0"/>
    <d v="2024-06-11T00:00:00"/>
    <x v="1"/>
    <n v="15"/>
    <x v="2"/>
    <s v="Yes"/>
    <x v="0"/>
    <s v="Yes"/>
    <n v="20"/>
    <n v="7"/>
    <n v="58"/>
  </r>
  <r>
    <x v="107"/>
    <x v="107"/>
    <x v="2"/>
    <d v="2024-06-12T00:00:00"/>
    <x v="0"/>
    <n v="10"/>
    <x v="1"/>
    <s v="No"/>
    <x v="1"/>
    <s v="Yes"/>
    <n v="20"/>
    <n v="10"/>
    <n v="20"/>
  </r>
  <r>
    <x v="108"/>
    <x v="108"/>
    <x v="1"/>
    <d v="2024-06-13T00:00:00"/>
    <x v="1"/>
    <n v="5"/>
    <x v="2"/>
    <s v="No"/>
    <x v="1"/>
    <s v="No"/>
    <n v="0"/>
    <n v="1"/>
    <n v="4"/>
  </r>
  <r>
    <x v="109"/>
    <x v="109"/>
    <x v="0"/>
    <d v="2024-06-14T00:00:00"/>
    <x v="0"/>
    <n v="15"/>
    <x v="0"/>
    <s v="Yes"/>
    <x v="0"/>
    <s v="Yes"/>
    <n v="20"/>
    <n v="15"/>
    <n v="50"/>
  </r>
  <r>
    <x v="110"/>
    <x v="110"/>
    <x v="2"/>
    <d v="2024-06-15T00:00:00"/>
    <x v="1"/>
    <n v="10"/>
    <x v="0"/>
    <s v="No"/>
    <x v="1"/>
    <s v="Yes"/>
    <n v="20"/>
    <n v="5"/>
    <n v="25"/>
  </r>
  <r>
    <x v="111"/>
    <x v="111"/>
    <x v="1"/>
    <d v="2024-06-16T00:00:00"/>
    <x v="0"/>
    <n v="5"/>
    <x v="1"/>
    <s v="No"/>
    <x v="1"/>
    <s v="No"/>
    <n v="0"/>
    <n v="0"/>
    <n v="5"/>
  </r>
  <r>
    <x v="112"/>
    <x v="112"/>
    <x v="0"/>
    <d v="2024-06-17T00:00:00"/>
    <x v="1"/>
    <n v="15"/>
    <x v="2"/>
    <s v="Yes"/>
    <x v="0"/>
    <s v="Yes"/>
    <n v="20"/>
    <n v="20"/>
    <n v="45"/>
  </r>
  <r>
    <x v="113"/>
    <x v="113"/>
    <x v="2"/>
    <d v="2024-06-18T00:00:00"/>
    <x v="0"/>
    <n v="10"/>
    <x v="2"/>
    <s v="No"/>
    <x v="1"/>
    <s v="Yes"/>
    <n v="20"/>
    <n v="12"/>
    <n v="18"/>
  </r>
  <r>
    <x v="114"/>
    <x v="114"/>
    <x v="1"/>
    <d v="2024-06-19T00:00:00"/>
    <x v="1"/>
    <n v="5"/>
    <x v="0"/>
    <s v="No"/>
    <x v="1"/>
    <s v="No"/>
    <n v="0"/>
    <n v="2"/>
    <n v="3"/>
  </r>
  <r>
    <x v="115"/>
    <x v="115"/>
    <x v="0"/>
    <d v="2024-06-20T00:00:00"/>
    <x v="0"/>
    <n v="15"/>
    <x v="1"/>
    <s v="Yes"/>
    <x v="0"/>
    <s v="Yes"/>
    <n v="20"/>
    <n v="5"/>
    <n v="60"/>
  </r>
  <r>
    <x v="116"/>
    <x v="116"/>
    <x v="2"/>
    <d v="2024-06-21T00:00:00"/>
    <x v="1"/>
    <n v="10"/>
    <x v="0"/>
    <s v="No"/>
    <x v="1"/>
    <s v="Yes"/>
    <n v="20"/>
    <n v="10"/>
    <n v="20"/>
  </r>
  <r>
    <x v="117"/>
    <x v="117"/>
    <x v="1"/>
    <d v="2024-06-22T00:00:00"/>
    <x v="0"/>
    <n v="5"/>
    <x v="2"/>
    <s v="No"/>
    <x v="1"/>
    <s v="No"/>
    <n v="0"/>
    <n v="0"/>
    <n v="5"/>
  </r>
  <r>
    <x v="118"/>
    <x v="93"/>
    <x v="0"/>
    <d v="2024-06-23T00:00:00"/>
    <x v="1"/>
    <n v="15"/>
    <x v="0"/>
    <s v="Yes"/>
    <x v="0"/>
    <s v="Yes"/>
    <n v="20"/>
    <n v="3"/>
    <n v="62"/>
  </r>
  <r>
    <x v="119"/>
    <x v="118"/>
    <x v="2"/>
    <d v="2024-06-24T00:00:00"/>
    <x v="0"/>
    <n v="10"/>
    <x v="1"/>
    <s v="No"/>
    <x v="1"/>
    <s v="Yes"/>
    <n v="20"/>
    <n v="15"/>
    <n v="15"/>
  </r>
  <r>
    <x v="120"/>
    <x v="119"/>
    <x v="1"/>
    <d v="2024-06-25T00:00:00"/>
    <x v="1"/>
    <n v="5"/>
    <x v="0"/>
    <s v="No"/>
    <x v="1"/>
    <s v="No"/>
    <n v="0"/>
    <n v="1"/>
    <n v="4"/>
  </r>
  <r>
    <x v="121"/>
    <x v="120"/>
    <x v="0"/>
    <d v="2024-06-26T00:00:00"/>
    <x v="0"/>
    <n v="15"/>
    <x v="2"/>
    <s v="Yes"/>
    <x v="0"/>
    <s v="Yes"/>
    <n v="20"/>
    <n v="7"/>
    <n v="58"/>
  </r>
  <r>
    <x v="122"/>
    <x v="121"/>
    <x v="2"/>
    <d v="2024-06-27T00:00:00"/>
    <x v="1"/>
    <n v="10"/>
    <x v="0"/>
    <s v="No"/>
    <x v="1"/>
    <s v="Yes"/>
    <n v="20"/>
    <n v="10"/>
    <n v="20"/>
  </r>
  <r>
    <x v="123"/>
    <x v="122"/>
    <x v="1"/>
    <d v="2024-06-28T00:00:00"/>
    <x v="0"/>
    <n v="5"/>
    <x v="1"/>
    <s v="No"/>
    <x v="1"/>
    <s v="No"/>
    <n v="0"/>
    <n v="0"/>
    <n v="5"/>
  </r>
  <r>
    <x v="124"/>
    <x v="123"/>
    <x v="0"/>
    <d v="2024-06-29T00:00:00"/>
    <x v="1"/>
    <n v="15"/>
    <x v="0"/>
    <s v="Yes"/>
    <x v="0"/>
    <s v="Yes"/>
    <n v="20"/>
    <n v="20"/>
    <n v="45"/>
  </r>
  <r>
    <x v="125"/>
    <x v="124"/>
    <x v="2"/>
    <d v="2024-06-30T00:00:00"/>
    <x v="0"/>
    <n v="10"/>
    <x v="2"/>
    <s v="No"/>
    <x v="1"/>
    <s v="Yes"/>
    <n v="20"/>
    <n v="15"/>
    <n v="15"/>
  </r>
  <r>
    <x v="126"/>
    <x v="125"/>
    <x v="1"/>
    <d v="2024-07-01T00:00:00"/>
    <x v="1"/>
    <n v="5"/>
    <x v="0"/>
    <s v="No"/>
    <x v="1"/>
    <s v="No"/>
    <n v="0"/>
    <n v="1"/>
    <n v="4"/>
  </r>
  <r>
    <x v="127"/>
    <x v="126"/>
    <x v="0"/>
    <d v="2024-07-02T00:00:00"/>
    <x v="0"/>
    <n v="15"/>
    <x v="1"/>
    <s v="Yes"/>
    <x v="0"/>
    <s v="Yes"/>
    <n v="20"/>
    <n v="3"/>
    <n v="62"/>
  </r>
  <r>
    <x v="128"/>
    <x v="127"/>
    <x v="2"/>
    <d v="2024-07-03T00:00:00"/>
    <x v="1"/>
    <n v="10"/>
    <x v="0"/>
    <s v="No"/>
    <x v="1"/>
    <s v="Yes"/>
    <n v="20"/>
    <n v="10"/>
    <n v="20"/>
  </r>
  <r>
    <x v="129"/>
    <x v="128"/>
    <x v="1"/>
    <d v="2024-07-04T00:00:00"/>
    <x v="0"/>
    <n v="5"/>
    <x v="2"/>
    <s v="No"/>
    <x v="1"/>
    <s v="No"/>
    <n v="0"/>
    <n v="0"/>
    <n v="5"/>
  </r>
  <r>
    <x v="130"/>
    <x v="129"/>
    <x v="0"/>
    <d v="2024-07-05T00:00:00"/>
    <x v="1"/>
    <n v="15"/>
    <x v="0"/>
    <s v="Yes"/>
    <x v="0"/>
    <s v="Yes"/>
    <n v="20"/>
    <n v="15"/>
    <n v="50"/>
  </r>
  <r>
    <x v="131"/>
    <x v="130"/>
    <x v="2"/>
    <d v="2024-07-06T00:00:00"/>
    <x v="0"/>
    <n v="10"/>
    <x v="1"/>
    <s v="No"/>
    <x v="1"/>
    <s v="Yes"/>
    <n v="20"/>
    <n v="15"/>
    <n v="15"/>
  </r>
  <r>
    <x v="132"/>
    <x v="131"/>
    <x v="1"/>
    <d v="2024-07-07T00:00:00"/>
    <x v="1"/>
    <n v="5"/>
    <x v="0"/>
    <s v="No"/>
    <x v="1"/>
    <s v="No"/>
    <n v="0"/>
    <n v="1"/>
    <n v="4"/>
  </r>
  <r>
    <x v="133"/>
    <x v="132"/>
    <x v="0"/>
    <d v="2024-07-08T00:00:00"/>
    <x v="0"/>
    <n v="15"/>
    <x v="2"/>
    <s v="Yes"/>
    <x v="0"/>
    <s v="Yes"/>
    <n v="20"/>
    <n v="7"/>
    <n v="58"/>
  </r>
  <r>
    <x v="134"/>
    <x v="133"/>
    <x v="2"/>
    <d v="2024-07-09T00:00:00"/>
    <x v="1"/>
    <n v="10"/>
    <x v="0"/>
    <s v="No"/>
    <x v="1"/>
    <s v="Yes"/>
    <n v="20"/>
    <n v="10"/>
    <n v="20"/>
  </r>
  <r>
    <x v="135"/>
    <x v="134"/>
    <x v="1"/>
    <d v="2024-07-10T00:00:00"/>
    <x v="0"/>
    <n v="5"/>
    <x v="0"/>
    <s v="No"/>
    <x v="1"/>
    <s v="No"/>
    <n v="0"/>
    <n v="0"/>
    <n v="5"/>
  </r>
  <r>
    <x v="136"/>
    <x v="135"/>
    <x v="0"/>
    <d v="2024-07-11T00:00:00"/>
    <x v="1"/>
    <n v="15"/>
    <x v="2"/>
    <s v="Yes"/>
    <x v="0"/>
    <s v="Yes"/>
    <n v="20"/>
    <n v="7"/>
    <n v="58"/>
  </r>
  <r>
    <x v="137"/>
    <x v="136"/>
    <x v="2"/>
    <d v="2024-07-12T00:00:00"/>
    <x v="0"/>
    <n v="10"/>
    <x v="1"/>
    <s v="No"/>
    <x v="1"/>
    <s v="Yes"/>
    <n v="20"/>
    <n v="10"/>
    <n v="20"/>
  </r>
  <r>
    <x v="138"/>
    <x v="137"/>
    <x v="1"/>
    <d v="2024-07-13T00:00:00"/>
    <x v="1"/>
    <n v="5"/>
    <x v="2"/>
    <s v="No"/>
    <x v="1"/>
    <s v="No"/>
    <n v="0"/>
    <n v="1"/>
    <n v="4"/>
  </r>
  <r>
    <x v="139"/>
    <x v="138"/>
    <x v="0"/>
    <d v="2024-07-14T00:00:00"/>
    <x v="0"/>
    <n v="15"/>
    <x v="0"/>
    <s v="Yes"/>
    <x v="0"/>
    <s v="Yes"/>
    <n v="20"/>
    <n v="15"/>
    <n v="50"/>
  </r>
  <r>
    <x v="140"/>
    <x v="139"/>
    <x v="2"/>
    <d v="2024-07-15T00:00:00"/>
    <x v="1"/>
    <n v="10"/>
    <x v="0"/>
    <s v="No"/>
    <x v="1"/>
    <s v="Yes"/>
    <n v="20"/>
    <n v="5"/>
    <n v="25"/>
  </r>
  <r>
    <x v="141"/>
    <x v="140"/>
    <x v="1"/>
    <d v="2024-07-16T00:00:00"/>
    <x v="0"/>
    <n v="5"/>
    <x v="1"/>
    <s v="No"/>
    <x v="1"/>
    <s v="No"/>
    <n v="0"/>
    <n v="0"/>
    <n v="5"/>
  </r>
  <r>
    <x v="142"/>
    <x v="141"/>
    <x v="0"/>
    <d v="2024-07-17T00:00:00"/>
    <x v="1"/>
    <n v="15"/>
    <x v="2"/>
    <s v="Yes"/>
    <x v="0"/>
    <s v="Yes"/>
    <n v="20"/>
    <n v="20"/>
    <n v="45"/>
  </r>
  <r>
    <x v="143"/>
    <x v="142"/>
    <x v="2"/>
    <d v="2024-07-18T00:00:00"/>
    <x v="0"/>
    <n v="10"/>
    <x v="2"/>
    <s v="No"/>
    <x v="1"/>
    <s v="Yes"/>
    <n v="20"/>
    <n v="12"/>
    <n v="18"/>
  </r>
  <r>
    <x v="144"/>
    <x v="143"/>
    <x v="1"/>
    <d v="2024-07-19T00:00:00"/>
    <x v="1"/>
    <n v="5"/>
    <x v="0"/>
    <s v="No"/>
    <x v="1"/>
    <s v="No"/>
    <n v="0"/>
    <n v="2"/>
    <n v="3"/>
  </r>
  <r>
    <x v="145"/>
    <x v="144"/>
    <x v="0"/>
    <d v="2024-07-20T00:00:00"/>
    <x v="0"/>
    <n v="15"/>
    <x v="1"/>
    <s v="Yes"/>
    <x v="0"/>
    <s v="Yes"/>
    <n v="20"/>
    <n v="5"/>
    <n v="60"/>
  </r>
  <r>
    <x v="146"/>
    <x v="145"/>
    <x v="2"/>
    <d v="2024-07-21T00:00:00"/>
    <x v="1"/>
    <n v="10"/>
    <x v="0"/>
    <s v="No"/>
    <x v="1"/>
    <s v="Yes"/>
    <n v="20"/>
    <n v="10"/>
    <n v="20"/>
  </r>
  <r>
    <x v="147"/>
    <x v="146"/>
    <x v="1"/>
    <d v="2024-07-22T00:00:00"/>
    <x v="0"/>
    <n v="5"/>
    <x v="2"/>
    <s v="No"/>
    <x v="1"/>
    <s v="No"/>
    <n v="0"/>
    <n v="0"/>
    <n v="5"/>
  </r>
  <r>
    <x v="148"/>
    <x v="147"/>
    <x v="0"/>
    <d v="2024-07-23T00:00:00"/>
    <x v="1"/>
    <n v="15"/>
    <x v="0"/>
    <s v="Yes"/>
    <x v="0"/>
    <s v="Yes"/>
    <n v="20"/>
    <n v="3"/>
    <n v="62"/>
  </r>
  <r>
    <x v="149"/>
    <x v="148"/>
    <x v="2"/>
    <d v="2024-07-24T00:00:00"/>
    <x v="0"/>
    <n v="10"/>
    <x v="1"/>
    <s v="No"/>
    <x v="1"/>
    <s v="Yes"/>
    <n v="20"/>
    <n v="15"/>
    <n v="15"/>
  </r>
  <r>
    <x v="150"/>
    <x v="149"/>
    <x v="1"/>
    <d v="2024-07-25T00:00:00"/>
    <x v="1"/>
    <n v="5"/>
    <x v="0"/>
    <s v="No"/>
    <x v="1"/>
    <s v="No"/>
    <n v="0"/>
    <n v="1"/>
    <n v="4"/>
  </r>
  <r>
    <x v="151"/>
    <x v="150"/>
    <x v="0"/>
    <d v="2024-07-26T00:00:00"/>
    <x v="0"/>
    <n v="15"/>
    <x v="2"/>
    <s v="Yes"/>
    <x v="0"/>
    <s v="Yes"/>
    <n v="20"/>
    <n v="7"/>
    <n v="58"/>
  </r>
  <r>
    <x v="152"/>
    <x v="151"/>
    <x v="2"/>
    <d v="2024-07-27T00:00:00"/>
    <x v="1"/>
    <n v="10"/>
    <x v="0"/>
    <s v="No"/>
    <x v="1"/>
    <s v="Yes"/>
    <n v="20"/>
    <n v="10"/>
    <n v="20"/>
  </r>
  <r>
    <x v="153"/>
    <x v="152"/>
    <x v="1"/>
    <d v="2024-07-28T00:00:00"/>
    <x v="0"/>
    <n v="5"/>
    <x v="1"/>
    <s v="No"/>
    <x v="1"/>
    <s v="No"/>
    <n v="0"/>
    <n v="0"/>
    <n v="5"/>
  </r>
  <r>
    <x v="154"/>
    <x v="153"/>
    <x v="0"/>
    <d v="2024-07-29T00:00:00"/>
    <x v="1"/>
    <n v="15"/>
    <x v="0"/>
    <s v="Yes"/>
    <x v="0"/>
    <s v="Yes"/>
    <n v="20"/>
    <n v="20"/>
    <n v="45"/>
  </r>
  <r>
    <x v="155"/>
    <x v="154"/>
    <x v="2"/>
    <d v="2024-07-30T00:00:00"/>
    <x v="0"/>
    <n v="10"/>
    <x v="2"/>
    <s v="No"/>
    <x v="1"/>
    <s v="Yes"/>
    <n v="20"/>
    <n v="15"/>
    <n v="15"/>
  </r>
  <r>
    <x v="156"/>
    <x v="155"/>
    <x v="1"/>
    <d v="2024-07-31T00:00:00"/>
    <x v="1"/>
    <n v="5"/>
    <x v="0"/>
    <s v="No"/>
    <x v="1"/>
    <s v="No"/>
    <n v="0"/>
    <n v="1"/>
    <n v="4"/>
  </r>
  <r>
    <x v="157"/>
    <x v="156"/>
    <x v="0"/>
    <d v="2024-08-01T00:00:00"/>
    <x v="0"/>
    <n v="15"/>
    <x v="1"/>
    <s v="Yes"/>
    <x v="0"/>
    <s v="Yes"/>
    <n v="20"/>
    <n v="3"/>
    <n v="62"/>
  </r>
  <r>
    <x v="158"/>
    <x v="157"/>
    <x v="2"/>
    <d v="2024-08-02T00:00:00"/>
    <x v="1"/>
    <n v="10"/>
    <x v="0"/>
    <s v="No"/>
    <x v="1"/>
    <s v="Yes"/>
    <n v="20"/>
    <n v="10"/>
    <n v="20"/>
  </r>
  <r>
    <x v="159"/>
    <x v="158"/>
    <x v="1"/>
    <d v="2024-08-03T00:00:00"/>
    <x v="0"/>
    <n v="5"/>
    <x v="2"/>
    <s v="No"/>
    <x v="1"/>
    <s v="No"/>
    <n v="0"/>
    <n v="0"/>
    <n v="5"/>
  </r>
  <r>
    <x v="160"/>
    <x v="58"/>
    <x v="0"/>
    <d v="2024-08-04T00:00:00"/>
    <x v="1"/>
    <n v="15"/>
    <x v="0"/>
    <s v="Yes"/>
    <x v="0"/>
    <s v="Yes"/>
    <n v="20"/>
    <n v="15"/>
    <n v="50"/>
  </r>
  <r>
    <x v="161"/>
    <x v="159"/>
    <x v="2"/>
    <d v="2024-08-05T00:00:00"/>
    <x v="0"/>
    <n v="10"/>
    <x v="1"/>
    <s v="No"/>
    <x v="1"/>
    <s v="Yes"/>
    <n v="20"/>
    <n v="15"/>
    <n v="15"/>
  </r>
  <r>
    <x v="162"/>
    <x v="160"/>
    <x v="1"/>
    <d v="2024-08-06T00:00:00"/>
    <x v="1"/>
    <n v="5"/>
    <x v="0"/>
    <s v="No"/>
    <x v="1"/>
    <s v="No"/>
    <n v="0"/>
    <n v="1"/>
    <n v="4"/>
  </r>
  <r>
    <x v="163"/>
    <x v="161"/>
    <x v="0"/>
    <d v="2024-08-07T00:00:00"/>
    <x v="0"/>
    <n v="15"/>
    <x v="2"/>
    <s v="Yes"/>
    <x v="0"/>
    <s v="Yes"/>
    <n v="20"/>
    <n v="7"/>
    <n v="58"/>
  </r>
  <r>
    <x v="164"/>
    <x v="162"/>
    <x v="2"/>
    <d v="2024-08-08T00:00:00"/>
    <x v="1"/>
    <n v="10"/>
    <x v="0"/>
    <s v="No"/>
    <x v="1"/>
    <s v="Yes"/>
    <n v="20"/>
    <n v="10"/>
    <n v="20"/>
  </r>
  <r>
    <x v="165"/>
    <x v="163"/>
    <x v="1"/>
    <d v="2024-08-09T00:00:00"/>
    <x v="0"/>
    <n v="5"/>
    <x v="1"/>
    <s v="No"/>
    <x v="1"/>
    <s v="No"/>
    <n v="0"/>
    <n v="0"/>
    <n v="5"/>
  </r>
  <r>
    <x v="166"/>
    <x v="90"/>
    <x v="0"/>
    <d v="2024-08-10T00:00:00"/>
    <x v="1"/>
    <n v="15"/>
    <x v="0"/>
    <s v="Yes"/>
    <x v="0"/>
    <s v="Yes"/>
    <n v="20"/>
    <n v="20"/>
    <n v="45"/>
  </r>
  <r>
    <x v="167"/>
    <x v="164"/>
    <x v="2"/>
    <d v="2024-08-11T00:00:00"/>
    <x v="0"/>
    <n v="10"/>
    <x v="2"/>
    <s v="No"/>
    <x v="1"/>
    <s v="Yes"/>
    <n v="20"/>
    <n v="15"/>
    <n v="15"/>
  </r>
  <r>
    <x v="168"/>
    <x v="165"/>
    <x v="1"/>
    <d v="2024-08-12T00:00:00"/>
    <x v="1"/>
    <n v="5"/>
    <x v="0"/>
    <s v="No"/>
    <x v="1"/>
    <s v="No"/>
    <n v="0"/>
    <n v="1"/>
    <n v="4"/>
  </r>
  <r>
    <x v="169"/>
    <x v="166"/>
    <x v="0"/>
    <d v="2024-08-13T00:00:00"/>
    <x v="0"/>
    <n v="15"/>
    <x v="1"/>
    <s v="Yes"/>
    <x v="0"/>
    <s v="Yes"/>
    <n v="20"/>
    <n v="5"/>
    <n v="60"/>
  </r>
  <r>
    <x v="170"/>
    <x v="167"/>
    <x v="2"/>
    <d v="2024-08-14T00:00:00"/>
    <x v="1"/>
    <n v="10"/>
    <x v="0"/>
    <s v="No"/>
    <x v="1"/>
    <s v="Yes"/>
    <n v="20"/>
    <n v="10"/>
    <n v="20"/>
  </r>
  <r>
    <x v="171"/>
    <x v="168"/>
    <x v="1"/>
    <d v="2024-08-15T00:00:00"/>
    <x v="0"/>
    <n v="5"/>
    <x v="2"/>
    <s v="No"/>
    <x v="1"/>
    <s v="No"/>
    <n v="0"/>
    <n v="0"/>
    <n v="5"/>
  </r>
  <r>
    <x v="172"/>
    <x v="169"/>
    <x v="0"/>
    <d v="2024-08-16T00:00:00"/>
    <x v="1"/>
    <n v="15"/>
    <x v="0"/>
    <s v="Yes"/>
    <x v="0"/>
    <s v="Yes"/>
    <n v="20"/>
    <n v="3"/>
    <n v="62"/>
  </r>
  <r>
    <x v="173"/>
    <x v="170"/>
    <x v="2"/>
    <d v="2024-08-17T00:00:00"/>
    <x v="0"/>
    <n v="10"/>
    <x v="1"/>
    <s v="No"/>
    <x v="1"/>
    <s v="Yes"/>
    <n v="20"/>
    <n v="15"/>
    <n v="15"/>
  </r>
  <r>
    <x v="174"/>
    <x v="171"/>
    <x v="1"/>
    <d v="2024-08-18T00:00:00"/>
    <x v="1"/>
    <n v="5"/>
    <x v="0"/>
    <s v="No"/>
    <x v="1"/>
    <s v="No"/>
    <n v="0"/>
    <n v="1"/>
    <n v="4"/>
  </r>
  <r>
    <x v="175"/>
    <x v="172"/>
    <x v="1"/>
    <d v="2024-08-19T00:00:00"/>
    <x v="0"/>
    <n v="5"/>
    <x v="0"/>
    <s v="No"/>
    <x v="1"/>
    <s v="No"/>
    <n v="0"/>
    <n v="0"/>
    <n v="5"/>
  </r>
  <r>
    <x v="176"/>
    <x v="173"/>
    <x v="0"/>
    <d v="2024-08-20T00:00:00"/>
    <x v="1"/>
    <n v="15"/>
    <x v="2"/>
    <s v="Yes"/>
    <x v="0"/>
    <s v="Yes"/>
    <n v="20"/>
    <n v="7"/>
    <n v="58"/>
  </r>
  <r>
    <x v="177"/>
    <x v="174"/>
    <x v="2"/>
    <d v="2024-08-21T00:00:00"/>
    <x v="0"/>
    <n v="10"/>
    <x v="1"/>
    <s v="No"/>
    <x v="1"/>
    <s v="Yes"/>
    <n v="20"/>
    <n v="10"/>
    <n v="20"/>
  </r>
  <r>
    <x v="178"/>
    <x v="175"/>
    <x v="1"/>
    <d v="2024-08-22T00:00:00"/>
    <x v="1"/>
    <n v="5"/>
    <x v="2"/>
    <s v="No"/>
    <x v="1"/>
    <s v="No"/>
    <n v="0"/>
    <n v="1"/>
    <n v="4"/>
  </r>
  <r>
    <x v="179"/>
    <x v="176"/>
    <x v="0"/>
    <d v="2024-08-23T00:00:00"/>
    <x v="0"/>
    <n v="15"/>
    <x v="0"/>
    <s v="Yes"/>
    <x v="0"/>
    <s v="Yes"/>
    <n v="20"/>
    <n v="15"/>
    <n v="50"/>
  </r>
  <r>
    <x v="180"/>
    <x v="177"/>
    <x v="2"/>
    <d v="2024-08-24T00:00:00"/>
    <x v="1"/>
    <n v="10"/>
    <x v="0"/>
    <s v="No"/>
    <x v="1"/>
    <s v="Yes"/>
    <n v="20"/>
    <n v="5"/>
    <n v="25"/>
  </r>
  <r>
    <x v="181"/>
    <x v="178"/>
    <x v="1"/>
    <d v="2024-08-25T00:00:00"/>
    <x v="0"/>
    <n v="5"/>
    <x v="1"/>
    <s v="No"/>
    <x v="1"/>
    <s v="No"/>
    <n v="0"/>
    <n v="0"/>
    <n v="5"/>
  </r>
  <r>
    <x v="182"/>
    <x v="179"/>
    <x v="0"/>
    <d v="2024-08-26T00:00:00"/>
    <x v="1"/>
    <n v="15"/>
    <x v="2"/>
    <s v="Yes"/>
    <x v="0"/>
    <s v="Yes"/>
    <n v="20"/>
    <n v="20"/>
    <n v="45"/>
  </r>
  <r>
    <x v="183"/>
    <x v="180"/>
    <x v="2"/>
    <d v="2024-08-27T00:00:00"/>
    <x v="0"/>
    <n v="10"/>
    <x v="2"/>
    <s v="No"/>
    <x v="1"/>
    <s v="Yes"/>
    <n v="20"/>
    <n v="12"/>
    <n v="18"/>
  </r>
  <r>
    <x v="184"/>
    <x v="181"/>
    <x v="1"/>
    <d v="2024-08-28T00:00:00"/>
    <x v="1"/>
    <n v="5"/>
    <x v="0"/>
    <s v="No"/>
    <x v="1"/>
    <s v="No"/>
    <n v="0"/>
    <n v="2"/>
    <n v="3"/>
  </r>
  <r>
    <x v="185"/>
    <x v="182"/>
    <x v="0"/>
    <d v="2024-08-29T00:00:00"/>
    <x v="0"/>
    <n v="15"/>
    <x v="1"/>
    <s v="Yes"/>
    <x v="0"/>
    <s v="Yes"/>
    <n v="20"/>
    <n v="5"/>
    <n v="60"/>
  </r>
  <r>
    <x v="186"/>
    <x v="183"/>
    <x v="2"/>
    <d v="2024-08-30T00:00:00"/>
    <x v="1"/>
    <n v="10"/>
    <x v="0"/>
    <s v="No"/>
    <x v="1"/>
    <s v="Yes"/>
    <n v="20"/>
    <n v="10"/>
    <n v="20"/>
  </r>
  <r>
    <x v="187"/>
    <x v="184"/>
    <x v="1"/>
    <d v="2024-08-31T00:00:00"/>
    <x v="0"/>
    <n v="5"/>
    <x v="2"/>
    <s v="No"/>
    <x v="1"/>
    <s v="No"/>
    <n v="0"/>
    <n v="0"/>
    <n v="5"/>
  </r>
  <r>
    <x v="188"/>
    <x v="185"/>
    <x v="0"/>
    <d v="2024-09-01T00:00:00"/>
    <x v="1"/>
    <n v="15"/>
    <x v="0"/>
    <s v="Yes"/>
    <x v="0"/>
    <s v="Yes"/>
    <n v="20"/>
    <n v="3"/>
    <n v="62"/>
  </r>
  <r>
    <x v="189"/>
    <x v="186"/>
    <x v="2"/>
    <d v="2024-09-02T00:00:00"/>
    <x v="0"/>
    <n v="10"/>
    <x v="1"/>
    <s v="No"/>
    <x v="1"/>
    <s v="Yes"/>
    <n v="20"/>
    <n v="15"/>
    <n v="15"/>
  </r>
  <r>
    <x v="190"/>
    <x v="15"/>
    <x v="1"/>
    <d v="2024-09-03T00:00:00"/>
    <x v="1"/>
    <n v="5"/>
    <x v="0"/>
    <s v="No"/>
    <x v="1"/>
    <s v="No"/>
    <n v="0"/>
    <n v="1"/>
    <n v="4"/>
  </r>
  <r>
    <x v="191"/>
    <x v="187"/>
    <x v="0"/>
    <d v="2024-09-04T00:00:00"/>
    <x v="0"/>
    <n v="15"/>
    <x v="2"/>
    <s v="Yes"/>
    <x v="0"/>
    <s v="Yes"/>
    <n v="20"/>
    <n v="7"/>
    <n v="58"/>
  </r>
  <r>
    <x v="192"/>
    <x v="188"/>
    <x v="2"/>
    <d v="2024-09-05T00:00:00"/>
    <x v="1"/>
    <n v="10"/>
    <x v="0"/>
    <s v="No"/>
    <x v="1"/>
    <s v="Yes"/>
    <n v="20"/>
    <n v="10"/>
    <n v="20"/>
  </r>
  <r>
    <x v="193"/>
    <x v="14"/>
    <x v="1"/>
    <d v="2024-09-06T00:00:00"/>
    <x v="0"/>
    <n v="5"/>
    <x v="1"/>
    <s v="No"/>
    <x v="1"/>
    <s v="No"/>
    <n v="0"/>
    <n v="0"/>
    <n v="5"/>
  </r>
  <r>
    <x v="194"/>
    <x v="189"/>
    <x v="0"/>
    <d v="2024-09-07T00:00:00"/>
    <x v="1"/>
    <n v="15"/>
    <x v="0"/>
    <s v="Yes"/>
    <x v="0"/>
    <s v="Yes"/>
    <n v="20"/>
    <n v="20"/>
    <n v="45"/>
  </r>
  <r>
    <x v="195"/>
    <x v="167"/>
    <x v="2"/>
    <d v="2024-09-08T00:00:00"/>
    <x v="0"/>
    <n v="10"/>
    <x v="2"/>
    <s v="No"/>
    <x v="1"/>
    <s v="Yes"/>
    <n v="20"/>
    <n v="15"/>
    <n v="15"/>
  </r>
  <r>
    <x v="196"/>
    <x v="190"/>
    <x v="1"/>
    <d v="2024-09-09T00:00:00"/>
    <x v="1"/>
    <n v="5"/>
    <x v="0"/>
    <s v="No"/>
    <x v="1"/>
    <s v="No"/>
    <n v="0"/>
    <n v="1"/>
    <n v="4"/>
  </r>
  <r>
    <x v="197"/>
    <x v="191"/>
    <x v="0"/>
    <d v="2024-09-10T00:00:00"/>
    <x v="0"/>
    <n v="15"/>
    <x v="1"/>
    <s v="Yes"/>
    <x v="0"/>
    <s v="Yes"/>
    <n v="20"/>
    <n v="3"/>
    <n v="62"/>
  </r>
  <r>
    <x v="198"/>
    <x v="192"/>
    <x v="2"/>
    <d v="2024-09-11T00:00:00"/>
    <x v="1"/>
    <n v="10"/>
    <x v="0"/>
    <s v="No"/>
    <x v="1"/>
    <s v="Yes"/>
    <n v="20"/>
    <n v="10"/>
    <n v="20"/>
  </r>
  <r>
    <x v="199"/>
    <x v="193"/>
    <x v="1"/>
    <d v="2024-09-12T00:00:00"/>
    <x v="0"/>
    <n v="5"/>
    <x v="2"/>
    <s v="No"/>
    <x v="1"/>
    <s v="No"/>
    <n v="0"/>
    <n v="0"/>
    <n v="5"/>
  </r>
  <r>
    <x v="200"/>
    <x v="194"/>
    <x v="0"/>
    <d v="2024-09-13T00:00:00"/>
    <x v="1"/>
    <n v="15"/>
    <x v="0"/>
    <s v="Yes"/>
    <x v="0"/>
    <s v="Yes"/>
    <n v="20"/>
    <n v="15"/>
    <n v="50"/>
  </r>
  <r>
    <x v="201"/>
    <x v="195"/>
    <x v="2"/>
    <d v="2024-09-14T00:00:00"/>
    <x v="0"/>
    <n v="10"/>
    <x v="1"/>
    <s v="No"/>
    <x v="1"/>
    <s v="Yes"/>
    <n v="20"/>
    <n v="15"/>
    <n v="15"/>
  </r>
  <r>
    <x v="202"/>
    <x v="196"/>
    <x v="1"/>
    <d v="2024-09-15T00:00:00"/>
    <x v="1"/>
    <n v="5"/>
    <x v="0"/>
    <s v="No"/>
    <x v="1"/>
    <s v="No"/>
    <n v="0"/>
    <n v="1"/>
    <n v="4"/>
  </r>
  <r>
    <x v="203"/>
    <x v="197"/>
    <x v="0"/>
    <d v="2024-09-16T00:00:00"/>
    <x v="0"/>
    <n v="15"/>
    <x v="2"/>
    <s v="Yes"/>
    <x v="0"/>
    <s v="Yes"/>
    <n v="20"/>
    <n v="7"/>
    <n v="58"/>
  </r>
  <r>
    <x v="204"/>
    <x v="198"/>
    <x v="2"/>
    <d v="2024-09-17T00:00:00"/>
    <x v="1"/>
    <n v="10"/>
    <x v="0"/>
    <s v="No"/>
    <x v="1"/>
    <s v="Yes"/>
    <n v="20"/>
    <n v="10"/>
    <n v="20"/>
  </r>
  <r>
    <x v="205"/>
    <x v="199"/>
    <x v="1"/>
    <d v="2024-09-18T00:00:00"/>
    <x v="0"/>
    <n v="5"/>
    <x v="0"/>
    <s v="No"/>
    <x v="1"/>
    <s v="No"/>
    <n v="0"/>
    <n v="0"/>
    <n v="5"/>
  </r>
  <r>
    <x v="206"/>
    <x v="200"/>
    <x v="0"/>
    <d v="2024-09-19T00:00:00"/>
    <x v="1"/>
    <n v="15"/>
    <x v="2"/>
    <s v="Yes"/>
    <x v="0"/>
    <s v="Yes"/>
    <n v="20"/>
    <n v="7"/>
    <n v="58"/>
  </r>
  <r>
    <x v="207"/>
    <x v="201"/>
    <x v="2"/>
    <d v="2024-09-20T00:00:00"/>
    <x v="0"/>
    <n v="10"/>
    <x v="1"/>
    <s v="No"/>
    <x v="1"/>
    <s v="Yes"/>
    <n v="20"/>
    <n v="10"/>
    <n v="20"/>
  </r>
  <r>
    <x v="208"/>
    <x v="202"/>
    <x v="1"/>
    <d v="2024-09-21T00:00:00"/>
    <x v="1"/>
    <n v="5"/>
    <x v="2"/>
    <s v="No"/>
    <x v="1"/>
    <s v="No"/>
    <n v="0"/>
    <n v="1"/>
    <n v="4"/>
  </r>
  <r>
    <x v="209"/>
    <x v="203"/>
    <x v="0"/>
    <d v="2024-09-22T00:00:00"/>
    <x v="0"/>
    <n v="15"/>
    <x v="0"/>
    <s v="Yes"/>
    <x v="0"/>
    <s v="Yes"/>
    <n v="20"/>
    <n v="15"/>
    <n v="50"/>
  </r>
  <r>
    <x v="210"/>
    <x v="204"/>
    <x v="2"/>
    <d v="2024-09-23T00:00:00"/>
    <x v="1"/>
    <n v="10"/>
    <x v="0"/>
    <s v="No"/>
    <x v="1"/>
    <s v="Yes"/>
    <n v="20"/>
    <n v="5"/>
    <n v="25"/>
  </r>
  <r>
    <x v="211"/>
    <x v="205"/>
    <x v="1"/>
    <d v="2024-09-24T00:00:00"/>
    <x v="0"/>
    <n v="5"/>
    <x v="1"/>
    <s v="No"/>
    <x v="1"/>
    <s v="No"/>
    <n v="0"/>
    <n v="0"/>
    <n v="5"/>
  </r>
  <r>
    <x v="212"/>
    <x v="206"/>
    <x v="0"/>
    <d v="2024-09-25T00:00:00"/>
    <x v="1"/>
    <n v="15"/>
    <x v="2"/>
    <s v="Yes"/>
    <x v="0"/>
    <s v="Yes"/>
    <n v="20"/>
    <n v="20"/>
    <n v="45"/>
  </r>
  <r>
    <x v="213"/>
    <x v="207"/>
    <x v="2"/>
    <d v="2024-09-26T00:00:00"/>
    <x v="0"/>
    <n v="10"/>
    <x v="2"/>
    <s v="No"/>
    <x v="1"/>
    <s v="Yes"/>
    <n v="20"/>
    <n v="12"/>
    <n v="18"/>
  </r>
  <r>
    <x v="214"/>
    <x v="37"/>
    <x v="1"/>
    <d v="2024-09-27T00:00:00"/>
    <x v="1"/>
    <n v="5"/>
    <x v="0"/>
    <s v="No"/>
    <x v="1"/>
    <s v="No"/>
    <n v="0"/>
    <n v="2"/>
    <n v="3"/>
  </r>
  <r>
    <x v="215"/>
    <x v="208"/>
    <x v="0"/>
    <d v="2024-09-28T00:00:00"/>
    <x v="0"/>
    <n v="15"/>
    <x v="1"/>
    <s v="Yes"/>
    <x v="0"/>
    <s v="Yes"/>
    <n v="20"/>
    <n v="5"/>
    <n v="60"/>
  </r>
  <r>
    <x v="216"/>
    <x v="209"/>
    <x v="2"/>
    <d v="2024-09-29T00:00:00"/>
    <x v="1"/>
    <n v="10"/>
    <x v="0"/>
    <s v="No"/>
    <x v="1"/>
    <s v="Yes"/>
    <n v="20"/>
    <n v="10"/>
    <n v="20"/>
  </r>
  <r>
    <x v="217"/>
    <x v="210"/>
    <x v="1"/>
    <d v="2024-09-30T00:00:00"/>
    <x v="0"/>
    <n v="5"/>
    <x v="2"/>
    <s v="No"/>
    <x v="1"/>
    <s v="No"/>
    <n v="0"/>
    <n v="0"/>
    <n v="5"/>
  </r>
  <r>
    <x v="218"/>
    <x v="211"/>
    <x v="0"/>
    <d v="2024-10-01T00:00:00"/>
    <x v="1"/>
    <n v="15"/>
    <x v="0"/>
    <s v="Yes"/>
    <x v="0"/>
    <s v="Yes"/>
    <n v="20"/>
    <n v="3"/>
    <n v="62"/>
  </r>
  <r>
    <x v="219"/>
    <x v="212"/>
    <x v="2"/>
    <d v="2024-10-02T00:00:00"/>
    <x v="0"/>
    <n v="10"/>
    <x v="1"/>
    <s v="No"/>
    <x v="1"/>
    <s v="Yes"/>
    <n v="20"/>
    <n v="15"/>
    <n v="15"/>
  </r>
  <r>
    <x v="220"/>
    <x v="213"/>
    <x v="1"/>
    <d v="2024-10-03T00:00:00"/>
    <x v="1"/>
    <n v="5"/>
    <x v="0"/>
    <s v="No"/>
    <x v="1"/>
    <s v="No"/>
    <n v="0"/>
    <n v="1"/>
    <n v="4"/>
  </r>
  <r>
    <x v="221"/>
    <x v="191"/>
    <x v="0"/>
    <d v="2024-10-04T00:00:00"/>
    <x v="0"/>
    <n v="15"/>
    <x v="2"/>
    <s v="Yes"/>
    <x v="0"/>
    <s v="Yes"/>
    <n v="20"/>
    <n v="7"/>
    <n v="58"/>
  </r>
  <r>
    <x v="222"/>
    <x v="45"/>
    <x v="2"/>
    <d v="2024-10-05T00:00:00"/>
    <x v="1"/>
    <n v="10"/>
    <x v="0"/>
    <s v="No"/>
    <x v="1"/>
    <s v="Yes"/>
    <n v="20"/>
    <n v="10"/>
    <n v="20"/>
  </r>
  <r>
    <x v="223"/>
    <x v="214"/>
    <x v="1"/>
    <d v="2024-10-06T00:00:00"/>
    <x v="0"/>
    <n v="5"/>
    <x v="1"/>
    <s v="No"/>
    <x v="1"/>
    <s v="No"/>
    <n v="0"/>
    <n v="0"/>
    <n v="5"/>
  </r>
  <r>
    <x v="224"/>
    <x v="215"/>
    <x v="0"/>
    <d v="2024-10-07T00:00:00"/>
    <x v="1"/>
    <n v="15"/>
    <x v="0"/>
    <s v="Yes"/>
    <x v="0"/>
    <s v="Yes"/>
    <n v="20"/>
    <n v="20"/>
    <n v="45"/>
  </r>
  <r>
    <x v="225"/>
    <x v="216"/>
    <x v="2"/>
    <d v="2024-10-08T00:00:00"/>
    <x v="0"/>
    <n v="10"/>
    <x v="2"/>
    <s v="No"/>
    <x v="1"/>
    <s v="Yes"/>
    <n v="20"/>
    <n v="15"/>
    <n v="15"/>
  </r>
  <r>
    <x v="226"/>
    <x v="217"/>
    <x v="1"/>
    <d v="2024-10-09T00:00:00"/>
    <x v="1"/>
    <n v="5"/>
    <x v="0"/>
    <s v="No"/>
    <x v="1"/>
    <s v="No"/>
    <n v="0"/>
    <n v="1"/>
    <n v="4"/>
  </r>
  <r>
    <x v="227"/>
    <x v="218"/>
    <x v="0"/>
    <d v="2024-10-10T00:00:00"/>
    <x v="0"/>
    <n v="15"/>
    <x v="1"/>
    <s v="Yes"/>
    <x v="0"/>
    <s v="Yes"/>
    <n v="20"/>
    <n v="3"/>
    <n v="62"/>
  </r>
  <r>
    <x v="228"/>
    <x v="219"/>
    <x v="2"/>
    <d v="2024-10-11T00:00:00"/>
    <x v="1"/>
    <n v="10"/>
    <x v="0"/>
    <s v="No"/>
    <x v="1"/>
    <s v="Yes"/>
    <n v="20"/>
    <n v="10"/>
    <n v="20"/>
  </r>
  <r>
    <x v="229"/>
    <x v="127"/>
    <x v="1"/>
    <d v="2024-10-12T00:00:00"/>
    <x v="0"/>
    <n v="5"/>
    <x v="2"/>
    <s v="No"/>
    <x v="1"/>
    <s v="No"/>
    <n v="0"/>
    <n v="0"/>
    <n v="5"/>
  </r>
  <r>
    <x v="230"/>
    <x v="220"/>
    <x v="0"/>
    <d v="2024-10-13T00:00:00"/>
    <x v="1"/>
    <n v="15"/>
    <x v="0"/>
    <s v="Yes"/>
    <x v="0"/>
    <s v="Yes"/>
    <n v="20"/>
    <n v="15"/>
    <n v="50"/>
  </r>
  <r>
    <x v="231"/>
    <x v="221"/>
    <x v="2"/>
    <d v="2024-10-14T00:00:00"/>
    <x v="0"/>
    <n v="10"/>
    <x v="1"/>
    <s v="No"/>
    <x v="1"/>
    <s v="Yes"/>
    <n v="20"/>
    <n v="15"/>
    <n v="15"/>
  </r>
  <r>
    <x v="232"/>
    <x v="222"/>
    <x v="1"/>
    <d v="2024-10-15T00:00:00"/>
    <x v="1"/>
    <n v="5"/>
    <x v="0"/>
    <s v="No"/>
    <x v="1"/>
    <s v="No"/>
    <n v="0"/>
    <n v="1"/>
    <n v="4"/>
  </r>
  <r>
    <x v="233"/>
    <x v="223"/>
    <x v="0"/>
    <d v="2024-10-16T00:00:00"/>
    <x v="0"/>
    <n v="15"/>
    <x v="2"/>
    <s v="Yes"/>
    <x v="0"/>
    <s v="Yes"/>
    <n v="20"/>
    <n v="7"/>
    <n v="58"/>
  </r>
  <r>
    <x v="234"/>
    <x v="224"/>
    <x v="2"/>
    <d v="2024-10-17T00:00:00"/>
    <x v="1"/>
    <n v="10"/>
    <x v="0"/>
    <s v="No"/>
    <x v="1"/>
    <s v="Yes"/>
    <n v="20"/>
    <n v="10"/>
    <n v="20"/>
  </r>
  <r>
    <x v="235"/>
    <x v="225"/>
    <x v="1"/>
    <d v="2024-10-18T00:00:00"/>
    <x v="0"/>
    <n v="5"/>
    <x v="1"/>
    <s v="No"/>
    <x v="1"/>
    <s v="No"/>
    <n v="0"/>
    <n v="0"/>
    <n v="5"/>
  </r>
  <r>
    <x v="236"/>
    <x v="226"/>
    <x v="0"/>
    <d v="2024-10-19T00:00:00"/>
    <x v="1"/>
    <n v="15"/>
    <x v="0"/>
    <s v="Yes"/>
    <x v="0"/>
    <s v="Yes"/>
    <n v="20"/>
    <n v="15"/>
    <n v="50"/>
  </r>
  <r>
    <x v="237"/>
    <x v="227"/>
    <x v="2"/>
    <d v="2024-10-20T00:00:00"/>
    <x v="0"/>
    <n v="10"/>
    <x v="2"/>
    <s v="No"/>
    <x v="1"/>
    <s v="Yes"/>
    <n v="20"/>
    <n v="12"/>
    <n v="18"/>
  </r>
  <r>
    <x v="238"/>
    <x v="228"/>
    <x v="1"/>
    <d v="2024-10-21T00:00:00"/>
    <x v="1"/>
    <n v="5"/>
    <x v="0"/>
    <s v="No"/>
    <x v="1"/>
    <s v="No"/>
    <n v="0"/>
    <n v="2"/>
    <n v="3"/>
  </r>
  <r>
    <x v="239"/>
    <x v="229"/>
    <x v="0"/>
    <d v="2024-10-22T00:00:00"/>
    <x v="0"/>
    <n v="15"/>
    <x v="1"/>
    <s v="Yes"/>
    <x v="0"/>
    <s v="Yes"/>
    <n v="20"/>
    <n v="5"/>
    <n v="60"/>
  </r>
  <r>
    <x v="240"/>
    <x v="230"/>
    <x v="2"/>
    <d v="2024-10-23T00:00:00"/>
    <x v="1"/>
    <n v="10"/>
    <x v="0"/>
    <s v="No"/>
    <x v="1"/>
    <s v="Yes"/>
    <n v="20"/>
    <n v="10"/>
    <n v="20"/>
  </r>
  <r>
    <x v="241"/>
    <x v="231"/>
    <x v="1"/>
    <d v="2024-10-24T00:00:00"/>
    <x v="0"/>
    <n v="5"/>
    <x v="2"/>
    <s v="No"/>
    <x v="1"/>
    <s v="No"/>
    <n v="0"/>
    <n v="0"/>
    <n v="5"/>
  </r>
  <r>
    <x v="242"/>
    <x v="140"/>
    <x v="0"/>
    <d v="2024-10-25T00:00:00"/>
    <x v="1"/>
    <n v="15"/>
    <x v="0"/>
    <s v="Yes"/>
    <x v="0"/>
    <s v="Yes"/>
    <n v="20"/>
    <n v="3"/>
    <n v="62"/>
  </r>
  <r>
    <x v="243"/>
    <x v="232"/>
    <x v="2"/>
    <d v="2024-10-26T00:00:00"/>
    <x v="0"/>
    <n v="10"/>
    <x v="1"/>
    <s v="No"/>
    <x v="1"/>
    <s v="Yes"/>
    <n v="20"/>
    <n v="15"/>
    <n v="15"/>
  </r>
  <r>
    <x v="244"/>
    <x v="233"/>
    <x v="1"/>
    <d v="2024-10-27T00:00:00"/>
    <x v="1"/>
    <n v="5"/>
    <x v="0"/>
    <s v="No"/>
    <x v="1"/>
    <s v="No"/>
    <n v="0"/>
    <n v="1"/>
    <n v="4"/>
  </r>
  <r>
    <x v="245"/>
    <x v="234"/>
    <x v="0"/>
    <d v="2024-10-28T00:00:00"/>
    <x v="0"/>
    <n v="15"/>
    <x v="2"/>
    <s v="Yes"/>
    <x v="0"/>
    <s v="Yes"/>
    <n v="20"/>
    <n v="7"/>
    <n v="58"/>
  </r>
  <r>
    <x v="246"/>
    <x v="235"/>
    <x v="2"/>
    <d v="2024-10-29T00:00:00"/>
    <x v="1"/>
    <n v="10"/>
    <x v="0"/>
    <s v="No"/>
    <x v="1"/>
    <s v="Yes"/>
    <n v="20"/>
    <n v="10"/>
    <n v="20"/>
  </r>
  <r>
    <x v="247"/>
    <x v="236"/>
    <x v="1"/>
    <d v="2024-10-30T00:00:00"/>
    <x v="0"/>
    <n v="5"/>
    <x v="1"/>
    <s v="No"/>
    <x v="1"/>
    <s v="No"/>
    <n v="0"/>
    <n v="0"/>
    <n v="5"/>
  </r>
  <r>
    <x v="248"/>
    <x v="237"/>
    <x v="0"/>
    <d v="2024-10-31T00:00:00"/>
    <x v="1"/>
    <n v="15"/>
    <x v="0"/>
    <s v="Yes"/>
    <x v="0"/>
    <s v="Yes"/>
    <n v="20"/>
    <n v="20"/>
    <n v="45"/>
  </r>
  <r>
    <x v="249"/>
    <x v="238"/>
    <x v="2"/>
    <d v="2024-11-01T00:00:00"/>
    <x v="0"/>
    <n v="10"/>
    <x v="2"/>
    <s v="No"/>
    <x v="1"/>
    <s v="Yes"/>
    <n v="20"/>
    <n v="15"/>
    <n v="15"/>
  </r>
  <r>
    <x v="250"/>
    <x v="239"/>
    <x v="1"/>
    <d v="2024-11-02T00:00:00"/>
    <x v="1"/>
    <n v="5"/>
    <x v="0"/>
    <s v="No"/>
    <x v="1"/>
    <s v="No"/>
    <n v="0"/>
    <n v="1"/>
    <n v="4"/>
  </r>
  <r>
    <x v="251"/>
    <x v="240"/>
    <x v="0"/>
    <d v="2024-11-03T00:00:00"/>
    <x v="0"/>
    <n v="15"/>
    <x v="1"/>
    <s v="Yes"/>
    <x v="0"/>
    <s v="Yes"/>
    <n v="20"/>
    <n v="3"/>
    <n v="62"/>
  </r>
  <r>
    <x v="252"/>
    <x v="241"/>
    <x v="2"/>
    <d v="2024-11-04T00:00:00"/>
    <x v="1"/>
    <n v="10"/>
    <x v="0"/>
    <s v="No"/>
    <x v="1"/>
    <s v="Yes"/>
    <n v="20"/>
    <n v="10"/>
    <n v="20"/>
  </r>
  <r>
    <x v="253"/>
    <x v="242"/>
    <x v="1"/>
    <d v="2024-11-05T00:00:00"/>
    <x v="0"/>
    <n v="5"/>
    <x v="2"/>
    <s v="No"/>
    <x v="1"/>
    <s v="No"/>
    <n v="0"/>
    <n v="0"/>
    <n v="5"/>
  </r>
  <r>
    <x v="254"/>
    <x v="243"/>
    <x v="0"/>
    <d v="2024-11-06T00:00:00"/>
    <x v="1"/>
    <n v="15"/>
    <x v="0"/>
    <s v="Yes"/>
    <x v="0"/>
    <s v="Yes"/>
    <n v="20"/>
    <n v="15"/>
    <n v="50"/>
  </r>
  <r>
    <x v="255"/>
    <x v="244"/>
    <x v="1"/>
    <d v="2024-11-07T00:00:00"/>
    <x v="0"/>
    <n v="5"/>
    <x v="0"/>
    <s v="No"/>
    <x v="1"/>
    <s v="No"/>
    <n v="0"/>
    <n v="0"/>
    <n v="5"/>
  </r>
  <r>
    <x v="256"/>
    <x v="245"/>
    <x v="0"/>
    <d v="2024-11-08T00:00:00"/>
    <x v="1"/>
    <n v="15"/>
    <x v="2"/>
    <s v="Yes"/>
    <x v="0"/>
    <s v="Yes"/>
    <n v="20"/>
    <n v="7"/>
    <n v="58"/>
  </r>
  <r>
    <x v="257"/>
    <x v="246"/>
    <x v="2"/>
    <d v="2024-11-09T00:00:00"/>
    <x v="0"/>
    <n v="10"/>
    <x v="1"/>
    <s v="No"/>
    <x v="1"/>
    <s v="Yes"/>
    <n v="20"/>
    <n v="10"/>
    <n v="20"/>
  </r>
  <r>
    <x v="258"/>
    <x v="247"/>
    <x v="1"/>
    <d v="2024-11-10T00:00:00"/>
    <x v="1"/>
    <n v="5"/>
    <x v="2"/>
    <s v="No"/>
    <x v="1"/>
    <s v="No"/>
    <n v="0"/>
    <n v="1"/>
    <n v="4"/>
  </r>
  <r>
    <x v="259"/>
    <x v="248"/>
    <x v="0"/>
    <d v="2024-11-11T00:00:00"/>
    <x v="0"/>
    <n v="15"/>
    <x v="0"/>
    <s v="Yes"/>
    <x v="0"/>
    <s v="Yes"/>
    <n v="20"/>
    <n v="15"/>
    <n v="50"/>
  </r>
  <r>
    <x v="260"/>
    <x v="249"/>
    <x v="2"/>
    <d v="2024-11-12T00:00:00"/>
    <x v="1"/>
    <n v="10"/>
    <x v="0"/>
    <s v="No"/>
    <x v="1"/>
    <s v="Yes"/>
    <n v="20"/>
    <n v="5"/>
    <n v="25"/>
  </r>
  <r>
    <x v="261"/>
    <x v="250"/>
    <x v="1"/>
    <d v="2024-11-13T00:00:00"/>
    <x v="0"/>
    <n v="5"/>
    <x v="1"/>
    <s v="No"/>
    <x v="1"/>
    <s v="No"/>
    <n v="0"/>
    <n v="0"/>
    <n v="5"/>
  </r>
  <r>
    <x v="262"/>
    <x v="251"/>
    <x v="0"/>
    <d v="2024-11-14T00:00:00"/>
    <x v="1"/>
    <n v="15"/>
    <x v="2"/>
    <s v="Yes"/>
    <x v="0"/>
    <s v="Yes"/>
    <n v="20"/>
    <n v="20"/>
    <n v="45"/>
  </r>
  <r>
    <x v="263"/>
    <x v="252"/>
    <x v="2"/>
    <d v="2024-11-15T00:00:00"/>
    <x v="0"/>
    <n v="10"/>
    <x v="2"/>
    <s v="No"/>
    <x v="1"/>
    <s v="Yes"/>
    <n v="20"/>
    <n v="12"/>
    <n v="18"/>
  </r>
  <r>
    <x v="264"/>
    <x v="253"/>
    <x v="1"/>
    <d v="2024-11-16T00:00:00"/>
    <x v="1"/>
    <n v="5"/>
    <x v="0"/>
    <s v="No"/>
    <x v="1"/>
    <s v="No"/>
    <n v="0"/>
    <n v="2"/>
    <n v="3"/>
  </r>
  <r>
    <x v="265"/>
    <x v="254"/>
    <x v="0"/>
    <d v="2024-11-17T00:00:00"/>
    <x v="0"/>
    <n v="15"/>
    <x v="1"/>
    <s v="Yes"/>
    <x v="0"/>
    <s v="Yes"/>
    <n v="20"/>
    <n v="5"/>
    <n v="60"/>
  </r>
  <r>
    <x v="266"/>
    <x v="255"/>
    <x v="2"/>
    <d v="2024-11-18T00:00:00"/>
    <x v="1"/>
    <n v="10"/>
    <x v="0"/>
    <s v="No"/>
    <x v="1"/>
    <s v="Yes"/>
    <n v="20"/>
    <n v="10"/>
    <n v="20"/>
  </r>
  <r>
    <x v="267"/>
    <x v="256"/>
    <x v="1"/>
    <d v="2024-11-19T00:00:00"/>
    <x v="0"/>
    <n v="5"/>
    <x v="2"/>
    <s v="No"/>
    <x v="1"/>
    <s v="No"/>
    <n v="0"/>
    <n v="0"/>
    <n v="5"/>
  </r>
  <r>
    <x v="268"/>
    <x v="257"/>
    <x v="0"/>
    <d v="2024-11-20T00:00:00"/>
    <x v="1"/>
    <n v="15"/>
    <x v="0"/>
    <s v="Yes"/>
    <x v="0"/>
    <s v="Yes"/>
    <n v="20"/>
    <n v="3"/>
    <n v="62"/>
  </r>
  <r>
    <x v="269"/>
    <x v="258"/>
    <x v="2"/>
    <d v="2024-11-21T00:00:00"/>
    <x v="0"/>
    <n v="10"/>
    <x v="1"/>
    <s v="No"/>
    <x v="1"/>
    <s v="Yes"/>
    <n v="20"/>
    <n v="15"/>
    <n v="15"/>
  </r>
  <r>
    <x v="270"/>
    <x v="259"/>
    <x v="1"/>
    <d v="2024-11-22T00:00:00"/>
    <x v="1"/>
    <n v="5"/>
    <x v="0"/>
    <s v="No"/>
    <x v="1"/>
    <s v="No"/>
    <n v="0"/>
    <n v="1"/>
    <n v="4"/>
  </r>
  <r>
    <x v="271"/>
    <x v="260"/>
    <x v="0"/>
    <d v="2024-11-23T00:00:00"/>
    <x v="0"/>
    <n v="15"/>
    <x v="2"/>
    <s v="Yes"/>
    <x v="0"/>
    <s v="Yes"/>
    <n v="20"/>
    <n v="7"/>
    <n v="58"/>
  </r>
  <r>
    <x v="272"/>
    <x v="119"/>
    <x v="2"/>
    <d v="2024-11-24T00:00:00"/>
    <x v="1"/>
    <n v="10"/>
    <x v="0"/>
    <s v="No"/>
    <x v="1"/>
    <s v="Yes"/>
    <n v="20"/>
    <n v="10"/>
    <n v="20"/>
  </r>
  <r>
    <x v="273"/>
    <x v="261"/>
    <x v="1"/>
    <d v="2024-11-25T00:00:00"/>
    <x v="0"/>
    <n v="5"/>
    <x v="1"/>
    <s v="No"/>
    <x v="1"/>
    <s v="No"/>
    <n v="0"/>
    <n v="0"/>
    <n v="5"/>
  </r>
  <r>
    <x v="274"/>
    <x v="262"/>
    <x v="0"/>
    <d v="2024-11-26T00:00:00"/>
    <x v="1"/>
    <n v="15"/>
    <x v="0"/>
    <s v="Yes"/>
    <x v="0"/>
    <s v="Yes"/>
    <n v="20"/>
    <n v="20"/>
    <n v="45"/>
  </r>
  <r>
    <x v="275"/>
    <x v="263"/>
    <x v="2"/>
    <d v="2024-11-27T00:00:00"/>
    <x v="0"/>
    <n v="10"/>
    <x v="2"/>
    <s v="No"/>
    <x v="1"/>
    <s v="Yes"/>
    <n v="20"/>
    <n v="15"/>
    <n v="15"/>
  </r>
  <r>
    <x v="276"/>
    <x v="264"/>
    <x v="1"/>
    <d v="2024-11-28T00:00:00"/>
    <x v="1"/>
    <n v="5"/>
    <x v="0"/>
    <s v="No"/>
    <x v="1"/>
    <s v="No"/>
    <n v="0"/>
    <n v="1"/>
    <n v="4"/>
  </r>
  <r>
    <x v="277"/>
    <x v="265"/>
    <x v="0"/>
    <d v="2024-11-29T00:00:00"/>
    <x v="0"/>
    <n v="15"/>
    <x v="1"/>
    <s v="Yes"/>
    <x v="0"/>
    <s v="Yes"/>
    <n v="20"/>
    <n v="3"/>
    <n v="62"/>
  </r>
  <r>
    <x v="278"/>
    <x v="266"/>
    <x v="2"/>
    <d v="2024-11-30T00:00:00"/>
    <x v="1"/>
    <n v="10"/>
    <x v="0"/>
    <s v="No"/>
    <x v="1"/>
    <s v="Yes"/>
    <n v="20"/>
    <n v="10"/>
    <n v="20"/>
  </r>
  <r>
    <x v="279"/>
    <x v="267"/>
    <x v="1"/>
    <d v="2024-12-01T00:00:00"/>
    <x v="0"/>
    <n v="5"/>
    <x v="2"/>
    <s v="No"/>
    <x v="1"/>
    <s v="No"/>
    <n v="0"/>
    <n v="0"/>
    <n v="5"/>
  </r>
  <r>
    <x v="280"/>
    <x v="268"/>
    <x v="0"/>
    <d v="2024-12-02T00:00:00"/>
    <x v="1"/>
    <n v="15"/>
    <x v="0"/>
    <s v="Yes"/>
    <x v="0"/>
    <s v="Yes"/>
    <n v="20"/>
    <n v="15"/>
    <n v="50"/>
  </r>
  <r>
    <x v="281"/>
    <x v="269"/>
    <x v="2"/>
    <d v="2024-12-03T00:00:00"/>
    <x v="0"/>
    <n v="10"/>
    <x v="1"/>
    <s v="No"/>
    <x v="1"/>
    <s v="Yes"/>
    <n v="20"/>
    <n v="15"/>
    <n v="15"/>
  </r>
  <r>
    <x v="282"/>
    <x v="270"/>
    <x v="1"/>
    <d v="2024-12-04T00:00:00"/>
    <x v="1"/>
    <n v="5"/>
    <x v="0"/>
    <s v="No"/>
    <x v="1"/>
    <s v="No"/>
    <n v="0"/>
    <n v="1"/>
    <n v="4"/>
  </r>
  <r>
    <x v="283"/>
    <x v="271"/>
    <x v="0"/>
    <d v="2024-12-05T00:00:00"/>
    <x v="0"/>
    <n v="15"/>
    <x v="2"/>
    <s v="Yes"/>
    <x v="0"/>
    <s v="Yes"/>
    <n v="20"/>
    <n v="7"/>
    <n v="58"/>
  </r>
  <r>
    <x v="284"/>
    <x v="130"/>
    <x v="2"/>
    <d v="2024-12-06T00:00:00"/>
    <x v="1"/>
    <n v="10"/>
    <x v="0"/>
    <s v="No"/>
    <x v="1"/>
    <s v="Yes"/>
    <n v="20"/>
    <n v="10"/>
    <n v="20"/>
  </r>
  <r>
    <x v="285"/>
    <x v="131"/>
    <x v="1"/>
    <d v="2024-12-07T00:00:00"/>
    <x v="0"/>
    <n v="5"/>
    <x v="1"/>
    <s v="No"/>
    <x v="1"/>
    <s v="No"/>
    <n v="0"/>
    <n v="0"/>
    <n v="5"/>
  </r>
  <r>
    <x v="286"/>
    <x v="181"/>
    <x v="0"/>
    <d v="2024-12-08T00:00:00"/>
    <x v="1"/>
    <n v="15"/>
    <x v="0"/>
    <s v="Yes"/>
    <x v="0"/>
    <s v="Yes"/>
    <n v="20"/>
    <n v="20"/>
    <n v="45"/>
  </r>
  <r>
    <x v="287"/>
    <x v="272"/>
    <x v="2"/>
    <d v="2024-12-09T00:00:00"/>
    <x v="0"/>
    <n v="10"/>
    <x v="2"/>
    <s v="No"/>
    <x v="1"/>
    <s v="Yes"/>
    <n v="20"/>
    <n v="12"/>
    <n v="18"/>
  </r>
  <r>
    <x v="288"/>
    <x v="273"/>
    <x v="1"/>
    <d v="2024-12-10T00:00:00"/>
    <x v="1"/>
    <n v="5"/>
    <x v="0"/>
    <s v="No"/>
    <x v="1"/>
    <s v="No"/>
    <n v="0"/>
    <n v="2"/>
    <n v="3"/>
  </r>
  <r>
    <x v="289"/>
    <x v="274"/>
    <x v="0"/>
    <d v="2024-12-11T00:00:00"/>
    <x v="0"/>
    <n v="15"/>
    <x v="1"/>
    <s v="Yes"/>
    <x v="0"/>
    <s v="Yes"/>
    <n v="20"/>
    <n v="5"/>
    <n v="60"/>
  </r>
  <r>
    <x v="290"/>
    <x v="275"/>
    <x v="2"/>
    <d v="2024-12-12T00:00:00"/>
    <x v="1"/>
    <n v="10"/>
    <x v="0"/>
    <s v="No"/>
    <x v="1"/>
    <s v="Yes"/>
    <n v="20"/>
    <n v="10"/>
    <n v="20"/>
  </r>
  <r>
    <x v="291"/>
    <x v="276"/>
    <x v="1"/>
    <d v="2024-12-13T00:00:00"/>
    <x v="0"/>
    <n v="5"/>
    <x v="2"/>
    <s v="No"/>
    <x v="1"/>
    <s v="No"/>
    <n v="0"/>
    <n v="0"/>
    <n v="5"/>
  </r>
  <r>
    <x v="292"/>
    <x v="277"/>
    <x v="0"/>
    <d v="2024-12-14T00:00:00"/>
    <x v="1"/>
    <n v="15"/>
    <x v="0"/>
    <s v="Yes"/>
    <x v="0"/>
    <s v="Yes"/>
    <n v="20"/>
    <n v="3"/>
    <n v="62"/>
  </r>
  <r>
    <x v="293"/>
    <x v="278"/>
    <x v="2"/>
    <d v="2024-12-15T00:00:00"/>
    <x v="0"/>
    <n v="10"/>
    <x v="1"/>
    <s v="No"/>
    <x v="1"/>
    <s v="Yes"/>
    <n v="20"/>
    <n v="15"/>
    <n v="15"/>
  </r>
  <r>
    <x v="294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6E763-134F-4D1F-A6B5-DD59BB5BFEE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5:C39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sd="0" x="0"/>
        <item sd="0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03A94-F144-4012-9806-8ABAC398B186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3:C27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sd="0" x="0"/>
        <item sd="0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AA7AB-4022-4236-92CD-65BEAC98947A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2:C15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sd="0" x="0"/>
        <item sd="0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5771071-3FC6-4BCA-81BA-799A0F19F0A8}" sourceName="Subscription Type">
  <pivotTables>
    <pivotTable tabId="3" name="tbl_anual_total"/>
    <pivotTable tabId="3" name="tbl_easeasonpass_total"/>
    <pivotTable tabId="3" name="Tabela dinâmica2"/>
  </pivotTables>
  <data>
    <tabular pivotCacheId="211059012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B91478D-8052-4E62-BEFE-7EB60C130435}" cache="SegmentaçãodeDados_Subscription_Type" caption="Tipo de Assinatura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9"/>
  <sheetViews>
    <sheetView showGridLines="0" topLeftCell="A13" workbookViewId="0">
      <selection activeCell="B6" sqref="B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57031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316</v>
      </c>
      <c r="C3" s="19"/>
      <c r="D3" s="19"/>
      <c r="E3" s="19"/>
      <c r="F3" s="19"/>
    </row>
    <row r="6" spans="2:6" x14ac:dyDescent="0.25">
      <c r="B6" t="s">
        <v>317</v>
      </c>
    </row>
    <row r="7" spans="2:6" x14ac:dyDescent="0.25">
      <c r="B7" t="s">
        <v>318</v>
      </c>
    </row>
    <row r="10" spans="2:6" x14ac:dyDescent="0.25">
      <c r="B10" s="12" t="s">
        <v>16</v>
      </c>
      <c r="C10" t="s">
        <v>27</v>
      </c>
    </row>
    <row r="12" spans="2:6" x14ac:dyDescent="0.25">
      <c r="B12" s="12" t="s">
        <v>313</v>
      </c>
      <c r="C12" t="s">
        <v>315</v>
      </c>
    </row>
    <row r="13" spans="2:6" x14ac:dyDescent="0.25">
      <c r="B13" s="13" t="s">
        <v>23</v>
      </c>
      <c r="C13" s="14">
        <v>806</v>
      </c>
    </row>
    <row r="14" spans="2:6" x14ac:dyDescent="0.25">
      <c r="B14" s="13" t="s">
        <v>19</v>
      </c>
      <c r="C14" s="14">
        <v>1502</v>
      </c>
    </row>
    <row r="15" spans="2:6" x14ac:dyDescent="0.25">
      <c r="B15" s="13" t="s">
        <v>314</v>
      </c>
      <c r="C15" s="14">
        <v>2308</v>
      </c>
    </row>
    <row r="19" spans="2:5" x14ac:dyDescent="0.25">
      <c r="B19" t="s">
        <v>319</v>
      </c>
    </row>
    <row r="21" spans="2:5" x14ac:dyDescent="0.25">
      <c r="B21" s="12" t="s">
        <v>16</v>
      </c>
      <c r="C21" t="s">
        <v>27</v>
      </c>
    </row>
    <row r="23" spans="2:5" x14ac:dyDescent="0.25">
      <c r="B23" s="12" t="s">
        <v>313</v>
      </c>
      <c r="C23" t="s">
        <v>320</v>
      </c>
    </row>
    <row r="24" spans="2:5" x14ac:dyDescent="0.25">
      <c r="B24" s="13" t="s">
        <v>22</v>
      </c>
      <c r="C24">
        <v>0</v>
      </c>
    </row>
    <row r="25" spans="2:5" x14ac:dyDescent="0.25">
      <c r="B25" s="13" t="s">
        <v>26</v>
      </c>
      <c r="C25">
        <v>0</v>
      </c>
    </row>
    <row r="26" spans="2:5" x14ac:dyDescent="0.25">
      <c r="B26" s="13" t="s">
        <v>18</v>
      </c>
      <c r="C26">
        <v>990</v>
      </c>
    </row>
    <row r="27" spans="2:5" x14ac:dyDescent="0.25">
      <c r="B27" s="13" t="s">
        <v>314</v>
      </c>
      <c r="C27">
        <v>990</v>
      </c>
      <c r="E27" s="17">
        <f>GETPIVOTDATA("EA Play Season Pass
Price",$B$23)</f>
        <v>990</v>
      </c>
    </row>
    <row r="31" spans="2:5" x14ac:dyDescent="0.25">
      <c r="B31" t="s">
        <v>321</v>
      </c>
    </row>
    <row r="33" spans="2:5" x14ac:dyDescent="0.25">
      <c r="B33" s="12" t="s">
        <v>16</v>
      </c>
      <c r="C33" t="s">
        <v>27</v>
      </c>
    </row>
    <row r="35" spans="2:5" x14ac:dyDescent="0.25">
      <c r="B35" s="12" t="s">
        <v>313</v>
      </c>
      <c r="C35" t="s">
        <v>322</v>
      </c>
    </row>
    <row r="36" spans="2:5" x14ac:dyDescent="0.25">
      <c r="B36" s="13" t="s">
        <v>22</v>
      </c>
      <c r="C36" s="14">
        <v>0</v>
      </c>
    </row>
    <row r="37" spans="2:5" x14ac:dyDescent="0.25">
      <c r="B37" s="13" t="s">
        <v>26</v>
      </c>
      <c r="C37" s="14">
        <v>480</v>
      </c>
    </row>
    <row r="38" spans="2:5" x14ac:dyDescent="0.25">
      <c r="B38" s="13" t="s">
        <v>18</v>
      </c>
      <c r="C38" s="14">
        <v>660</v>
      </c>
      <c r="E38" s="17">
        <f>GETPIVOTDATA("Minecraft Season Pass Price",$B$35)</f>
        <v>1140</v>
      </c>
    </row>
    <row r="39" spans="2:5" x14ac:dyDescent="0.25">
      <c r="B39" s="13" t="s">
        <v>314</v>
      </c>
      <c r="C39" s="14"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T273"/>
  <sheetViews>
    <sheetView showGridLines="0" showRowColHeaders="0" tabSelected="1" zoomScale="130" zoomScaleNormal="130" workbookViewId="0">
      <selection activeCell="C1" sqref="C1:Q2"/>
    </sheetView>
  </sheetViews>
  <sheetFormatPr defaultRowHeight="15" x14ac:dyDescent="0.25"/>
  <cols>
    <col min="1" max="1" width="27.28515625" style="16" customWidth="1"/>
    <col min="2" max="2" width="3.5703125" customWidth="1"/>
    <col min="12" max="12" width="6.5703125" customWidth="1"/>
    <col min="22" max="22" width="5.7109375" customWidth="1"/>
  </cols>
  <sheetData>
    <row r="1" spans="2:46" x14ac:dyDescent="0.25">
      <c r="C1" s="20" t="s">
        <v>323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2:46" ht="20.45" customHeight="1" thickBot="1" x14ac:dyDescent="0.3"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8"/>
      <c r="S2" s="18"/>
      <c r="T2" s="18"/>
      <c r="U2" s="18"/>
      <c r="V2" s="18"/>
    </row>
    <row r="3" spans="2:46" ht="18" customHeight="1" thickTop="1" x14ac:dyDescent="0.3"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2:46" ht="8.2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2:46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2:46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2:46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2:46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2:46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2:46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2:46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spans="2:46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2:46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spans="2:46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2:46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spans="2:46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2:46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 spans="2:46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2:46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 spans="2:46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spans="2:46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spans="2:46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spans="2:46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2:46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spans="2:46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 spans="2:46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</row>
    <row r="27" spans="2:46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</row>
    <row r="28" spans="2:46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spans="2:46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</row>
    <row r="30" spans="2:46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</row>
    <row r="31" spans="2:46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</row>
    <row r="32" spans="2:46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</row>
    <row r="33" spans="2:46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</row>
    <row r="34" spans="2:46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</row>
    <row r="35" spans="2:46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</row>
    <row r="36" spans="2:46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 spans="2:46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</row>
    <row r="38" spans="2:46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 spans="2:46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</row>
    <row r="40" spans="2:46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</row>
    <row r="41" spans="2:46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</row>
    <row r="42" spans="2:46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 spans="2:46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</row>
    <row r="44" spans="2:46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</row>
    <row r="45" spans="2:46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</row>
    <row r="46" spans="2:46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</row>
    <row r="47" spans="2:46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</row>
    <row r="48" spans="2:46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</row>
    <row r="49" spans="2:46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</row>
    <row r="50" spans="2:46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</row>
    <row r="51" spans="2:46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</row>
    <row r="52" spans="2:46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</row>
    <row r="53" spans="2:46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</row>
    <row r="54" spans="2:46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</row>
    <row r="55" spans="2:46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</row>
    <row r="56" spans="2:46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</row>
    <row r="57" spans="2:46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</row>
    <row r="58" spans="2:46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</row>
    <row r="59" spans="2:46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</row>
    <row r="60" spans="2:46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</row>
    <row r="61" spans="2:46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</row>
    <row r="62" spans="2:46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</row>
    <row r="63" spans="2:46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</row>
    <row r="64" spans="2:46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</row>
    <row r="65" spans="2:46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</row>
    <row r="66" spans="2:46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</row>
    <row r="67" spans="2:46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</row>
    <row r="68" spans="2:46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</row>
    <row r="69" spans="2:46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</row>
    <row r="70" spans="2:46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</row>
    <row r="71" spans="2:46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</row>
    <row r="72" spans="2:46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</row>
    <row r="73" spans="2:46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</row>
    <row r="74" spans="2:46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</row>
    <row r="75" spans="2:46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</row>
    <row r="76" spans="2:46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</row>
    <row r="77" spans="2:46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</row>
    <row r="78" spans="2:46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</row>
    <row r="79" spans="2:46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</row>
    <row r="80" spans="2:46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</row>
    <row r="81" spans="2:46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</row>
    <row r="82" spans="2:46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</row>
    <row r="83" spans="2:46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</row>
    <row r="84" spans="2:46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</row>
    <row r="85" spans="2:46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</row>
    <row r="86" spans="2:46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</row>
    <row r="87" spans="2:46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</row>
    <row r="88" spans="2:46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</row>
    <row r="89" spans="2:46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</row>
    <row r="90" spans="2:46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</row>
    <row r="91" spans="2:46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</row>
    <row r="92" spans="2:46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</row>
    <row r="93" spans="2:46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</row>
    <row r="94" spans="2:46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</row>
    <row r="95" spans="2:46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</row>
    <row r="96" spans="2:46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</row>
    <row r="97" spans="2:46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</row>
    <row r="98" spans="2:46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</row>
    <row r="99" spans="2:46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</row>
    <row r="100" spans="2:46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</row>
    <row r="101" spans="2:46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</row>
    <row r="102" spans="2:46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</row>
    <row r="103" spans="2:46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</row>
    <row r="104" spans="2:46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</row>
    <row r="105" spans="2:46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</row>
    <row r="106" spans="2:46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</row>
    <row r="107" spans="2:46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</row>
    <row r="108" spans="2:46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</row>
    <row r="109" spans="2:46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</row>
    <row r="110" spans="2:46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</row>
    <row r="111" spans="2:46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</row>
    <row r="112" spans="2:46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</row>
    <row r="113" spans="2:46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</row>
    <row r="114" spans="2:46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</row>
    <row r="115" spans="2:46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</row>
    <row r="116" spans="2:46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</row>
    <row r="117" spans="2:46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</row>
    <row r="118" spans="2:46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</row>
    <row r="119" spans="2:46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</row>
    <row r="120" spans="2:46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</row>
    <row r="121" spans="2:46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</row>
    <row r="122" spans="2:46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</row>
    <row r="123" spans="2:46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</row>
    <row r="124" spans="2:46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</row>
    <row r="125" spans="2:46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</row>
    <row r="126" spans="2:46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</row>
    <row r="127" spans="2:46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</row>
    <row r="128" spans="2:46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</row>
    <row r="129" spans="2:46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</row>
    <row r="130" spans="2:46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</row>
    <row r="131" spans="2:46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</row>
    <row r="132" spans="2:46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</row>
    <row r="133" spans="2:46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</row>
    <row r="134" spans="2:46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</row>
    <row r="135" spans="2:46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</row>
    <row r="136" spans="2:46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</row>
    <row r="137" spans="2:46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</row>
    <row r="138" spans="2:46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</row>
    <row r="139" spans="2:46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</row>
    <row r="140" spans="2:46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</row>
    <row r="141" spans="2:46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</row>
    <row r="142" spans="2:46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</row>
    <row r="143" spans="2:46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</row>
    <row r="144" spans="2:46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</row>
    <row r="145" spans="2:46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</row>
    <row r="146" spans="2:46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</row>
    <row r="147" spans="2:46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</row>
    <row r="148" spans="2:46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</row>
    <row r="149" spans="2:46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</row>
    <row r="150" spans="2:46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</row>
    <row r="151" spans="2:46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</row>
    <row r="152" spans="2:46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</row>
    <row r="153" spans="2:46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</row>
    <row r="154" spans="2:46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</row>
    <row r="155" spans="2:46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</row>
    <row r="156" spans="2:46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</row>
    <row r="157" spans="2:46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</row>
    <row r="158" spans="2:46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</row>
    <row r="159" spans="2:46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</row>
    <row r="160" spans="2:46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</row>
    <row r="161" spans="2:46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</row>
    <row r="162" spans="2:46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</row>
    <row r="163" spans="2:46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</row>
    <row r="164" spans="2:46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</row>
    <row r="165" spans="2:46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</row>
    <row r="166" spans="2:46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</row>
    <row r="167" spans="2:46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</row>
    <row r="168" spans="2:46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</row>
    <row r="169" spans="2:46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</row>
    <row r="170" spans="2:46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</row>
    <row r="171" spans="2:46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</row>
    <row r="172" spans="2:46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</row>
    <row r="173" spans="2:46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</row>
    <row r="174" spans="2:46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</row>
    <row r="175" spans="2:46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</row>
    <row r="176" spans="2:46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</row>
    <row r="177" spans="2:46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</row>
    <row r="178" spans="2:46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</row>
    <row r="179" spans="2:46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</row>
    <row r="180" spans="2:46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</row>
    <row r="181" spans="2:46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</row>
    <row r="182" spans="2:46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</row>
    <row r="183" spans="2:46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</row>
    <row r="184" spans="2:46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</row>
    <row r="185" spans="2:46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</row>
    <row r="186" spans="2:46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</row>
    <row r="187" spans="2:46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</row>
    <row r="188" spans="2:46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</row>
    <row r="189" spans="2:46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</row>
    <row r="190" spans="2:46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</row>
    <row r="191" spans="2:46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</row>
    <row r="192" spans="2:46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</row>
    <row r="193" spans="2:46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</row>
    <row r="194" spans="2:46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</row>
    <row r="195" spans="2:46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</row>
    <row r="196" spans="2:46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</row>
    <row r="197" spans="2:46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</row>
    <row r="198" spans="2:46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</row>
    <row r="199" spans="2:46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</row>
    <row r="200" spans="2:46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</row>
    <row r="201" spans="2:46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</row>
    <row r="202" spans="2:46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</row>
    <row r="203" spans="2:46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</row>
    <row r="204" spans="2:46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</row>
    <row r="205" spans="2:46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</row>
    <row r="206" spans="2:46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</row>
    <row r="207" spans="2:46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</row>
    <row r="208" spans="2:46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</row>
    <row r="209" spans="2:46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</row>
    <row r="210" spans="2:46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</row>
    <row r="211" spans="2:46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</row>
    <row r="212" spans="2:46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</row>
    <row r="213" spans="2:46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</row>
    <row r="214" spans="2:46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</row>
    <row r="215" spans="2:46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</row>
    <row r="216" spans="2:46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</row>
    <row r="217" spans="2:46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</row>
    <row r="218" spans="2:46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</row>
    <row r="219" spans="2:46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</row>
    <row r="220" spans="2:46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</row>
    <row r="221" spans="2:46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</row>
    <row r="222" spans="2:46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</row>
    <row r="223" spans="2:46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</row>
    <row r="224" spans="2:46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</row>
    <row r="225" spans="2:46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</row>
    <row r="226" spans="2:46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</row>
    <row r="227" spans="2:46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</row>
    <row r="228" spans="2:46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</row>
    <row r="229" spans="2:46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</row>
    <row r="230" spans="2:46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</row>
    <row r="231" spans="2:46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</row>
    <row r="232" spans="2:46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</row>
    <row r="233" spans="2:46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</row>
    <row r="234" spans="2:46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</row>
    <row r="235" spans="2:46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</row>
    <row r="236" spans="2:46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</row>
    <row r="237" spans="2:46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</row>
    <row r="238" spans="2:46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</row>
    <row r="239" spans="2:46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</row>
    <row r="240" spans="2:46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</row>
    <row r="241" spans="2:46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</row>
    <row r="242" spans="2:46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</row>
    <row r="243" spans="2:46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</row>
    <row r="244" spans="2:46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</row>
    <row r="245" spans="2:46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</row>
    <row r="246" spans="2:46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</row>
    <row r="247" spans="2:46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</row>
    <row r="248" spans="2:46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</row>
    <row r="249" spans="2:46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</row>
    <row r="250" spans="2:46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</row>
    <row r="251" spans="2:46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</row>
    <row r="252" spans="2:46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</row>
    <row r="253" spans="2:46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</row>
    <row r="254" spans="2:46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</row>
    <row r="255" spans="2:46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</row>
    <row r="256" spans="2:46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</row>
    <row r="257" spans="2:46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</row>
    <row r="258" spans="2:46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</row>
    <row r="259" spans="2:46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</row>
    <row r="260" spans="2:46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</row>
    <row r="261" spans="2:46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</row>
    <row r="262" spans="2:46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</row>
    <row r="263" spans="2:46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</row>
    <row r="264" spans="2:46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</row>
    <row r="265" spans="2:46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</row>
    <row r="266" spans="2:46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</row>
    <row r="267" spans="2:46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</row>
    <row r="268" spans="2:46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</row>
    <row r="269" spans="2:46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</row>
    <row r="270" spans="2:46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</row>
    <row r="271" spans="2:46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</row>
    <row r="272" spans="2:46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</row>
    <row r="273" spans="2:46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</row>
  </sheetData>
  <mergeCells count="1">
    <mergeCell ref="C1:Q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JF Júnior</cp:lastModifiedBy>
  <dcterms:created xsi:type="dcterms:W3CDTF">2024-12-19T13:13:10Z</dcterms:created>
  <dcterms:modified xsi:type="dcterms:W3CDTF">2026-02-01T10:03:23Z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